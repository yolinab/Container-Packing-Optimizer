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Container_packing_optimizer/app/sample_instances/"/>
    </mc:Choice>
  </mc:AlternateContent>
  <xr:revisionPtr revIDLastSave="0" documentId="13_ncr:1_{9AF47E63-51E2-474C-959E-F32F48F92F1C}" xr6:coauthVersionLast="47" xr6:coauthVersionMax="47" xr10:uidLastSave="{00000000-0000-0000-0000-000000000000}"/>
  <bookViews>
    <workbookView xWindow="-5700" yWindow="-21600" windowWidth="38400" windowHeight="2160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E3" i="2"/>
  <c r="F3" i="2"/>
  <c r="G3" i="2" s="1"/>
  <c r="L3" i="2" l="1"/>
  <c r="H8" i="2" s="1"/>
  <c r="H13" i="2"/>
  <c r="H6" i="2"/>
  <c r="L7" i="2"/>
  <c r="H5" i="2"/>
  <c r="H4" i="2"/>
  <c r="H3" i="2"/>
  <c r="L4" i="2"/>
  <c r="H9" i="2"/>
  <c r="H12" i="2"/>
  <c r="H10" i="2" l="1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<sst xmlns="http://schemas.openxmlformats.org/spreadsheetml/2006/main" count="225" uniqueCount="127">
  <si>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</si>
  <si>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</si>
  <si>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</si>
  <si>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</si>
  <si>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</si>
  <si>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</si>
  <si>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</si>
  <si>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</si>
  <si>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</si>
  <si>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</si>
  <si>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</si>
  <si>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</si>
  <si>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</si>
  <si>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</si>
  <si>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</si>
  <si>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</si>
  <si>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</si>
  <si>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</si>
  <si>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</si>
  <si>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</si>
  <si>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</si>
  <si>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</si>
  <si>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</si>
  <si>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</si>
  <si>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</si>
  <si>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</si>
  <si>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</si>
  <si>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</si>
  <si>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</si>
  <si>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</si>
  <si>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</si>
  <si>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</si>
  <si>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</si>
  <si>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</si>
  <si>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</si>
  <si>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</si>
  <si>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</si>
  <si>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</si>
  <si>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</si>
  <si>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</si>
  <si>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</si>
  <si>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</si>
  <si>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</si>
  <si>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</si>
  <si>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</si>
  <si>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</si>
  <si>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</si>
  <si>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</si>
  <si>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</si>
  <si>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</si>
  <si>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</si>
  <si>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</si>
  <si>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</si>
  <si>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</si>
  <si>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</si>
  <si>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</si>
  <si>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</si>
  <si>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</si>
  <si>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</si>
  <si>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</si>
  <si>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</si>
  <si>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</si>
  <si>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</si>
  <si>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</si>
  <si>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</si>
  <si>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</si>
  <si>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</si>
  <si>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</si>
  <si>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</si>
  <si>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</si>
  <si>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</si>
  <si>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</si>
  <si>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</si>
  <si>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</si>
  <si>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</si>
  <si>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</si>
  <si>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</si>
  <si>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</si>
  <si>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</si>
  <si>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</si>
  <si>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</si>
  <si>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</si>
  <si>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</si>
  <si>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</si>
  <si>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</si>
  <si>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</si>
  <si>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</si>
  <si>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</si>
  <si>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</si>
  <si>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</si>
  <si>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</si>
  <si>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</si>
  <si>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</si>
  <si>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</si>
  <si>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</si>
  <si>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</si>
  <si>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</si>
  <si>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</si>
  <si>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External  Packaging Quantity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</si>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</sst>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siz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External 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A9" zoomScale="131" zoomScaleNormal="80" workbookViewId="0">
      <selection activeCell="I27" sqref="I27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29.164062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101</v>
      </c>
      <c r="C2" s="15" t="s">
        <v>126</v>
      </c>
      <c r="D2" s="15" t="s">
        <v>125</v>
      </c>
      <c r="E2" s="15" t="s">
        <v>124</v>
      </c>
      <c r="F2" s="15" t="s">
        <v>123</v>
      </c>
      <c r="G2" s="15" t="s">
        <v>122</v>
      </c>
      <c r="H2" s="14" t="s">
        <v>121</v>
      </c>
    </row>
    <row r="3" spans="2:12" x14ac:dyDescent="0.2">
      <c r="B3" s="11" t="s">
        <v>120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119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118</v>
      </c>
      <c r="L4">
        <f>(12.03-L3)*2.34*2.35</f>
        <v>66.152969999999996</v>
      </c>
    </row>
    <row r="5" spans="2:12" x14ac:dyDescent="0.2">
      <c r="B5" s="11" t="s">
        <v>117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116</v>
      </c>
      <c r="L5">
        <f>(COUNT(J$17:J$1048576))-1</f>
        <v>-1</v>
      </c>
    </row>
    <row r="6" spans="2:12" x14ac:dyDescent="0.2">
      <c r="B6" s="13" t="s">
        <v>115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114</v>
      </c>
      <c r="L6">
        <f>SUMPRODUCT(I:I,J:J)</f>
        <v>0</v>
      </c>
    </row>
    <row r="7" spans="2:12" x14ac:dyDescent="0.2">
      <c r="B7" s="11" t="s">
        <v>113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112</v>
      </c>
      <c r="L7">
        <f>ROUNDUP(L3/12.03,1)</f>
        <v>0</v>
      </c>
    </row>
    <row r="8" spans="2:12" x14ac:dyDescent="0.2">
      <c r="B8" s="13" t="s">
        <v>111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110</v>
      </c>
      <c r="L8">
        <f>ROUNDDOWN(R34/12.03,1)</f>
        <v>0</v>
      </c>
    </row>
    <row r="9" spans="2:12" x14ac:dyDescent="0.2">
      <c r="B9" s="11" t="s">
        <v>109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108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107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106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105</v>
      </c>
      <c r="C19" t="s">
        <v>104</v>
      </c>
      <c r="D19" t="s">
        <v>103</v>
      </c>
      <c r="E19" t="s">
        <v>102</v>
      </c>
      <c r="F19" t="s">
        <v>101</v>
      </c>
      <c r="G19" t="s">
        <v>100</v>
      </c>
      <c r="H19" t="s">
        <v>99</v>
      </c>
      <c r="I19" s="17" t="s">
        <v>98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32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80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1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90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2026-02-28T18:49:26Z</dcterms:modified>
</cp:coreProperties>
</file>
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lina/Desktop/Container_packing_optimizer/app/sample_instances/"/>
    </mc:Choice>
  </mc:AlternateContent>
  <xr:revisionPtr revIDLastSave="0" documentId="13_ncr:1_{94C1C7C6-51C8-9840-ADA8-F89BFB7DEAA1}" xr6:coauthVersionLast="47" xr6:coauthVersionMax="47" xr10:uidLastSave="{00000000-0000-0000-0000-000000000000}"/>
  <bookViews>
    <workbookView xWindow="0" yWindow="500" windowWidth="38400" windowHeight="19440" xr2:uid="{83FD0664-BA60-47EC-92E2-BA57C11BFD8C}"/>
  </bookViews>
  <sheets>
    <sheet name="Bestellen" sheetId="2" r:id="rId1"/>
  </sheets>
  <externalReferences>
    <externalReference r:id="rId2"/>
  </externalReferences>
  <definedNames>
    <definedName name="ExternalData_1" localSheetId="0" hidden="1">Bestellen!$B$19:$I$42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2" l="1"/>
  <c r="J36" i="2"/>
  <c r="J21" i="2"/>
  <c r="J22" i="2"/>
  <c r="L6" i="2"/>
  <c r="L8" i="2"/>
  <c r="J20" i="2"/>
  <c r="J23" i="2"/>
  <c r="J24" i="2"/>
  <c r="J25" i="2"/>
  <c r="J26" i="2"/>
  <c r="J27" i="2"/>
  <c r="J28" i="2"/>
  <c r="J29" i="2"/>
  <c r="J31" i="2"/>
  <c r="J32" i="2"/>
  <c r="J33" i="2"/>
  <c r="J34" i="2"/>
  <c r="J35" i="2"/>
  <c r="J37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D3" i="2" l="1" a="1"/>
  <c r="E5" i="2" s="1"/>
  <c r="L5" i="2"/>
  <c r="F10" i="2" l="1"/>
  <c r="G10" i="2" s="1"/>
  <c r="F5" i="2"/>
  <c r="G5" i="2" s="1"/>
  <c r="D3" i="2"/>
  <c r="F7" i="2"/>
  <c r="G7" i="2" s="1"/>
  <c r="F12" i="2"/>
  <c r="G12" i="2" s="1"/>
  <c r="E6" i="2"/>
  <c r="F13" i="2"/>
  <c r="G13" i="2" s="1"/>
  <c r="F9" i="2"/>
  <c r="G9" i="2" s="1"/>
  <c r="E14" i="2"/>
  <c r="E11" i="2"/>
  <c r="E4" i="2"/>
  <c r="F8" i="2"/>
  <c r="G8" i="2" s="1"/>
  <c r="E7" i="2"/>
  <c r="E8" i="2"/>
  <c r="E13" i="2"/>
  <c r="F14" i="2"/>
  <c r="G14" i="2" s="1"/>
  <c r="E9" i="2"/>
  <c r="E10" i="2"/>
  <c r="E12" i="2"/>
  <c r="F11" i="2"/>
  <c r="G11" i="2" s="1"/>
  <c r="F4" i="2"/>
  <c r="G4" i="2" s="1"/>
  <c r="F6" i="2"/>
  <c r="G6" i="2" s="1"/>
  <c r="E3" i="2"/>
  <c r="F3" i="2"/>
  <c r="G3" i="2" s="1"/>
  <c r="L3" i="2" l="1"/>
  <c r="H8" i="2" s="1"/>
  <c r="H4" i="2"/>
  <c r="H3" i="2"/>
  <c r="L4" i="2"/>
  <c r="H9" i="2"/>
  <c r="H12" i="2"/>
  <c r="H5" i="2" l="1"/>
  <c r="L7" i="2"/>
  <c r="H6" i="2"/>
  <c r="H13" i="2"/>
  <c r="H10" i="2"/>
  <c r="H14" i="2"/>
  <c r="H11" i="2"/>
  <c r="H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<sst xmlns="http://schemas.openxmlformats.org/spreadsheetml/2006/main" count="225" uniqueCount="127">
  <si>
    <t>Yantian</t>
  </si>
  <si>
    <t>FOB</t>
  </si>
  <si>
    <t>USD</t>
  </si>
  <si>
    <t>NP</t>
  </si>
  <si>
    <t>0,46x0,46x0,85</t>
  </si>
  <si>
    <t>Rio pot round green - h40,5xd45cm</t>
  </si>
  <si>
    <t>1168002</t>
  </si>
  <si>
    <t>8720967834082</t>
  </si>
  <si>
    <t>0,46x0,46x0,88</t>
  </si>
  <si>
    <t>Bravo pot round blue beehive glaze - h40xd45cm</t>
  </si>
  <si>
    <t>1167995</t>
  </si>
  <si>
    <t>8720967834013</t>
  </si>
  <si>
    <t>Bravo pot round l. brown beehive glaze - h40xd45cm</t>
  </si>
  <si>
    <t>1167989</t>
  </si>
  <si>
    <t>8720967833955</t>
  </si>
  <si>
    <t>0,39x0,39x0,88</t>
  </si>
  <si>
    <t>Bravo pot round l. brown beehive glaze - h32,5xd38cm</t>
  </si>
  <si>
    <t>1167988</t>
  </si>
  <si>
    <t>8720967833948</t>
  </si>
  <si>
    <t>0,32x0,32x0,88</t>
  </si>
  <si>
    <t>Bravo pot round l. brown beehive glaze - h26xd30,5cm</t>
  </si>
  <si>
    <t>1167987</t>
  </si>
  <si>
    <t>8720967833931</t>
  </si>
  <si>
    <t>Bravo pot round d. grey beehive - h26xd30,5cm</t>
  </si>
  <si>
    <t>1167983</t>
  </si>
  <si>
    <t>8720967833894</t>
  </si>
  <si>
    <t>0,38x0,38x0,88</t>
  </si>
  <si>
    <t>Rio pot round cream - h33,5xd37cm</t>
  </si>
  <si>
    <t>1148714</t>
  </si>
  <si>
    <t>8720362676607</t>
  </si>
  <si>
    <t>0,46x0,46x0,87</t>
  </si>
  <si>
    <t>Bravo pot round l. grey zinc finish - h40xd45cm</t>
  </si>
  <si>
    <t>1135722</t>
  </si>
  <si>
    <t>8720362378730</t>
  </si>
  <si>
    <t>0,32x0,32x0,87</t>
  </si>
  <si>
    <t>Bravo pot round l. grey zinc finish - h26xd30,5cm</t>
  </si>
  <si>
    <t>1135721</t>
  </si>
  <si>
    <t>8720362378723</t>
  </si>
  <si>
    <t>0,39x0,39x0,87</t>
  </si>
  <si>
    <t>Bravo pot round l. grey zinc finish - h32,5xd38cm</t>
  </si>
  <si>
    <t>1095944</t>
  </si>
  <si>
    <t>8718861924237</t>
  </si>
  <si>
    <t>0,56x0,56x0,66</t>
  </si>
  <si>
    <t>Bravo bowl round l. grey zinc finish - h26xd55cm</t>
  </si>
  <si>
    <t>1072734</t>
  </si>
  <si>
    <t>8718861700367</t>
  </si>
  <si>
    <t>0,36x0,36x0,43</t>
  </si>
  <si>
    <t>Bravo bowl round l. grey zinc finish - h17xd35cm</t>
  </si>
  <si>
    <t>1072733</t>
  </si>
  <si>
    <t>8718861700350</t>
  </si>
  <si>
    <t>C3</t>
  </si>
  <si>
    <t>1,15x0,77x1,44</t>
  </si>
  <si>
    <t>Tahiti pot round off white brown grey 3 assorted - h33xd38cm</t>
  </si>
  <si>
    <t>1188735</t>
  </si>
  <si>
    <t>8720983443251</t>
  </si>
  <si>
    <t>C2</t>
  </si>
  <si>
    <t>1,15x0,77x1,27</t>
  </si>
  <si>
    <t>Nairobi pot round mixpallet cream grey green 46 pieces</t>
  </si>
  <si>
    <t>1188725</t>
  </si>
  <si>
    <t>8720983443152</t>
  </si>
  <si>
    <t>1,15x0,77x1,28</t>
  </si>
  <si>
    <t>Rio pot round mixpallet grey green rust antique 60 pieces</t>
  </si>
  <si>
    <t>1188704</t>
  </si>
  <si>
    <t>8720983442940</t>
  </si>
  <si>
    <t>Bravo pot round mixpallet off white d. green d. grey hammered 66 pieces</t>
  </si>
  <si>
    <t>1188692</t>
  </si>
  <si>
    <t>8720983442827</t>
  </si>
  <si>
    <t>Rio pot round mixpallet l. grey green d. grey 60 pieces</t>
  </si>
  <si>
    <t>1168006</t>
  </si>
  <si>
    <t>8720967834129</t>
  </si>
  <si>
    <t>Bravo pot round mixpallet cream l. grey d. grey hammered 66 pieces</t>
  </si>
  <si>
    <t>1167976</t>
  </si>
  <si>
    <t>8720967833825</t>
  </si>
  <si>
    <t>A2</t>
  </si>
  <si>
    <t>1,15x1,15x1,27</t>
  </si>
  <si>
    <t>Maui pot round cream green d. grey brown 4 assorted - h42,5xd56cm</t>
  </si>
  <si>
    <t>1188736</t>
  </si>
  <si>
    <t>8720983443268</t>
  </si>
  <si>
    <t>Nairobi pot round cream grey green 3 assorted - h51xd56cm</t>
  </si>
  <si>
    <t>1188724</t>
  </si>
  <si>
    <t>8720983443145</t>
  </si>
  <si>
    <t>1,15x1,15x1,2</t>
  </si>
  <si>
    <t>Rio pot round grey green rust antique 3 assorted - h50,5xd56cm</t>
  </si>
  <si>
    <t>1188703</t>
  </si>
  <si>
    <t>8720983442933</t>
  </si>
  <si>
    <t>Rio pot round l. grey green d. grey 3 assorted - h50,5xd56cm</t>
  </si>
  <si>
    <t>1188702</t>
  </si>
  <si>
    <t>8720983442926</t>
  </si>
  <si>
    <t>Bravo pot round off white cream d. green d. grey hammered 4 assorted - h47,5xd56cm</t>
  </si>
  <si>
    <t>1188691</t>
  </si>
  <si>
    <t>8720983442810</t>
  </si>
  <si>
    <t>% of container</t>
  </si>
  <si>
    <t>Total ordered amount</t>
  </si>
  <si>
    <t>Item price FOB</t>
  </si>
  <si>
    <t>PoD</t>
  </si>
  <si>
    <t>Delivery condition</t>
  </si>
  <si>
    <t>Currency order</t>
  </si>
  <si>
    <t>Total number of pallets</t>
  </si>
  <si>
    <t>External  Packaging Quantity</t>
  </si>
  <si>
    <t>Total pallets in row</t>
  </si>
  <si>
    <t>Total pallet in container</t>
  </si>
  <si>
    <t>Pallet size</t>
  </si>
  <si>
    <t>Pallet and packing size</t>
  </si>
  <si>
    <t>Product name</t>
  </si>
  <si>
    <t>Article</t>
  </si>
  <si>
    <t>Barcode</t>
  </si>
  <si>
    <t>D3</t>
  </si>
  <si>
    <t>D2</t>
  </si>
  <si>
    <t>D1</t>
  </si>
  <si>
    <t>C1</t>
  </si>
  <si>
    <t>Container over</t>
  </si>
  <si>
    <t>B3</t>
  </si>
  <si>
    <t>Container gevuld</t>
  </si>
  <si>
    <t>B2</t>
  </si>
  <si>
    <t>Hoeveelheid producten</t>
  </si>
  <si>
    <t>B1</t>
  </si>
  <si>
    <t>Soorten producten</t>
  </si>
  <si>
    <t>A3</t>
  </si>
  <si>
    <t>CBM left</t>
  </si>
  <si>
    <t>Lengte gevuld</t>
  </si>
  <si>
    <t>A1</t>
  </si>
  <si>
    <t>Nog te bestellen tot container vol</t>
  </si>
  <si>
    <t>lengte gevuld</t>
  </si>
  <si>
    <t>Rijen gevuld</t>
  </si>
  <si>
    <t>Nog te bestellen</t>
  </si>
  <si>
    <t>hoeveelheid besteld</t>
  </si>
  <si>
    <t>veelvoud te bestellen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</si>
</sst>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/>
      </right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18">
    <xf numFmtId="0" fontId="0" fillId="0" borderId="0" xfId="0"/>
    <xf numFmtId="49" fontId="0" fillId="0" borderId="0" xfId="0" applyNumberFormat="1"/>
    <xf numFmtId="0" fontId="0" fillId="0" borderId="1" xfId="0" applyBorder="1"/>
    <xf numFmtId="0" fontId="2" fillId="0" borderId="1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49" fontId="0" fillId="3" borderId="4" xfId="0" applyNumberFormat="1" applyFill="1" applyBorder="1"/>
    <xf numFmtId="0" fontId="0" fillId="3" borderId="5" xfId="0" applyFill="1" applyBorder="1"/>
    <xf numFmtId="0" fontId="0" fillId="0" borderId="6" xfId="0" applyBorder="1"/>
    <xf numFmtId="49" fontId="0" fillId="0" borderId="7" xfId="0" applyNumberFormat="1" applyBorder="1"/>
    <xf numFmtId="0" fontId="0" fillId="3" borderId="8" xfId="0" applyFill="1" applyBorder="1"/>
    <xf numFmtId="49" fontId="0" fillId="3" borderId="9" xfId="0" applyNumberFormat="1" applyFill="1" applyBorder="1"/>
    <xf numFmtId="0" fontId="0" fillId="0" borderId="8" xfId="0" applyBorder="1"/>
    <xf numFmtId="49" fontId="0" fillId="0" borderId="9" xfId="0" applyNumberFormat="1" applyBorder="1"/>
    <xf numFmtId="0" fontId="1" fillId="4" borderId="5" xfId="0" applyFont="1" applyFill="1" applyBorder="1"/>
    <xf numFmtId="0" fontId="1" fillId="4" borderId="8" xfId="0" applyFont="1" applyFill="1" applyBorder="1"/>
    <xf numFmtId="49" fontId="1" fillId="4" borderId="9" xfId="0" applyNumberFormat="1" applyFont="1" applyFill="1" applyBorder="1"/>
    <xf numFmtId="0" fontId="3" fillId="5" borderId="0" xfId="1"/>
  </cellXfs>
  <cellStyles count="2">
    <cellStyle name="Bad" xfId="1" builtinId="27"/>
    <cellStyle name="Normal" xfId="0" builtinId="0"/>
  </cellStyles>
  <dxfs count="8"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 style="thin">
          <color theme="9" tint="0.39997558519241921"/>
        </vertical>
        <horizontal style="thin">
          <color theme="9" tint="0.39997558519241921"/>
        </horizontal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 style="thin">
          <color theme="9" tint="0.39997558519241921"/>
        </vertical>
        <horizontal style="thin">
          <color theme="9" tint="0.39997558519241921"/>
        </horizontal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 style="thin">
          <color theme="9" tint="0.39997558519241921"/>
        </vertical>
        <horizontal style="thin">
          <color theme="9" tint="0.39997558519241921"/>
        </horizontal>
      </border>
    </dxf>
    <dxf>
      <numFmt numFmtId="0" formatCode="General"/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 style="thin">
          <color theme="9" tint="0.39997558519241921"/>
        </vertical>
        <horizontal style="thin">
          <color theme="9" tint="0.39997558519241921"/>
        </horizontal>
      </border>
    </dxf>
    <dxf>
      <numFmt numFmtId="0" formatCode="General"/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 style="thin">
          <color theme="9" tint="0.39997558519241921"/>
        </vertical>
        <horizontal style="thin">
          <color theme="9" tint="0.39997558519241921"/>
        </horizontal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 style="thin">
          <color theme="9" tint="0.39997558519241921"/>
        </vertical>
        <horizontal style="thin">
          <color theme="9" tint="0.39997558519241921"/>
        </horizontal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 style="thin">
          <color theme="9" tint="0.39997558519241921"/>
        </vertical>
        <horizontal style="thin">
          <color theme="9" tint="0.39997558519241921"/>
        </horizontal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IP/Containerlijst%20meer.xlsx" TargetMode="External"/><Relationship Id="rId1" Type="http://schemas.openxmlformats.org/officeDocument/2006/relationships/externalLinkPath" Target="file:///H:/IP/Containerlijst%20me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"/>
      <sheetName val="Container sizes"/>
      <sheetName val="Articles-Total-Purchase"/>
      <sheetName val="Dropdown"/>
    </sheetNames>
    <sheetDataSet>
      <sheetData sheetId="0"/>
      <sheetData sheetId="1">
        <row r="22">
          <cell r="I22">
            <v>0.77</v>
          </cell>
        </row>
        <row r="23">
          <cell r="I23">
            <v>0.77</v>
          </cell>
        </row>
        <row r="24">
          <cell r="I24">
            <v>1.08</v>
          </cell>
        </row>
        <row r="25">
          <cell r="I25">
            <v>1.1499999999999999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DF6E15-7B7A-4E7B-AD16-22F32F994F7F}" name="Merge1" displayName="Merge1" ref="B19:I42" totalsRowShown="0">
  <autoFilter ref="B19:I42" xr:uid="{9539D884-44C6-4C2E-A18A-8B34BCD62477}"/>
  <tableColumns count="8">
    <tableColumn id="3" xr3:uid="{8DD373A0-7E5C-4693-B9FC-1CE3F21B1883}" name="Barcode" dataDxfId="7"/>
    <tableColumn id="1" xr3:uid="{95E03F22-AA87-4443-AC5F-8858259939E1}" name="Article" dataDxfId="6"/>
    <tableColumn id="2" xr3:uid="{DCDA184F-8339-4745-97BB-C47FE5DEBC7D}" name="Product name" dataDxfId="5"/>
    <tableColumn id="6" xr3:uid="{0B257032-DED7-4537-BD17-7F785641D1BE}" name="Pallet and packing size" dataDxfId="4"/>
    <tableColumn id="4" xr3:uid="{0ED5C61C-AE37-4382-84D4-715706EB0DE3}" name="Pallet size" dataDxfId="3"/>
    <tableColumn id="7" xr3:uid="{919CD494-A37D-478F-9F32-DC01B0AAB19A}" name="Total pallet in container" dataDxfId="2"/>
    <tableColumn id="8" xr3:uid="{0D927188-4DB9-431B-B09C-99E9077B9B1F}" name="Total pallets in row" dataDxfId="1"/>
    <tableColumn id="5" xr3:uid="{47E31305-A4AE-4BC4-BB61-4BAD7A10E6DB}" name="External  Packaging Quantity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BD18-587B-4D08-B2CC-279A8169DCBC}">
  <sheetPr>
    <pageSetUpPr fitToPage="1"/>
  </sheetPr>
  <dimension ref="B2:P478"/>
  <sheetViews>
    <sheetView tabSelected="1" topLeftCell="C9" zoomScale="131" zoomScaleNormal="80" workbookViewId="0">
      <selection activeCell="I25" sqref="I25"/>
    </sheetView>
  </sheetViews>
  <sheetFormatPr baseColWidth="10" defaultColWidth="8.83203125" defaultRowHeight="15" x14ac:dyDescent="0.2"/>
  <cols>
    <col min="2" max="2" width="15.1640625" style="1" bestFit="1" customWidth="1"/>
    <col min="3" max="3" width="9.5" bestFit="1" customWidth="1"/>
    <col min="4" max="4" width="77.33203125" bestFit="1" customWidth="1"/>
    <col min="5" max="5" width="23.83203125" bestFit="1" customWidth="1"/>
    <col min="6" max="6" width="12.5" bestFit="1" customWidth="1"/>
    <col min="7" max="7" width="24.83203125" bestFit="1" customWidth="1"/>
    <col min="8" max="8" width="20.5" bestFit="1" customWidth="1"/>
    <col min="9" max="9" width="29.1640625" customWidth="1"/>
    <col min="10" max="10" width="21.6640625" bestFit="1" customWidth="1"/>
    <col min="11" max="11" width="16.33203125" bestFit="1" customWidth="1"/>
    <col min="12" max="12" width="16.6640625" bestFit="1" customWidth="1"/>
    <col min="13" max="13" width="9.83203125" bestFit="1" customWidth="1"/>
    <col min="14" max="14" width="19.5" bestFit="1" customWidth="1"/>
    <col min="15" max="15" width="18.6640625" bestFit="1" customWidth="1"/>
    <col min="16" max="16" width="13.83203125" bestFit="1" customWidth="1"/>
    <col min="17" max="17" width="15.83203125" bestFit="1" customWidth="1"/>
    <col min="18" max="18" width="12.5" bestFit="1" customWidth="1"/>
    <col min="19" max="19" width="27.6640625" bestFit="1" customWidth="1"/>
    <col min="20" max="21" width="3.1640625" bestFit="1" customWidth="1"/>
    <col min="22" max="22" width="3.33203125" bestFit="1" customWidth="1"/>
    <col min="23" max="23" width="11" bestFit="1" customWidth="1"/>
  </cols>
  <sheetData>
    <row r="2" spans="2:12" x14ac:dyDescent="0.2">
      <c r="B2" s="16" t="s">
        <v>101</v>
      </c>
      <c r="C2" s="15" t="s">
        <v>126</v>
      </c>
      <c r="D2" s="15" t="s">
        <v>125</v>
      </c>
      <c r="E2" s="15" t="s">
        <v>124</v>
      </c>
      <c r="F2" s="15" t="s">
        <v>123</v>
      </c>
      <c r="G2" s="15" t="s">
        <v>122</v>
      </c>
      <c r="H2" s="14" t="s">
        <v>121</v>
      </c>
    </row>
    <row r="3" spans="2:12" x14ac:dyDescent="0.2">
      <c r="B3" s="11" t="s">
        <v>120</v>
      </c>
      <c r="C3" s="10">
        <v>6</v>
      </c>
      <c r="D3" s="10" cm="1">
        <f t="array" ref="D3:D14">SUMIFS(J$18:J$1048576,F$18:F$1048576,B$3:B$14)</f>
        <v>0</v>
      </c>
      <c r="E3" s="10">
        <f t="shared" ref="E3:E14" si="0">IF(D3="0","",MOD(C3-MOD(D3,C3),C3))</f>
        <v>0</v>
      </c>
      <c r="F3" s="10">
        <f t="shared" ref="F3:F14" si="1">IF(D3="0","",CEILING(D3/C3,1))</f>
        <v>0</v>
      </c>
      <c r="G3" s="10">
        <f>F3*'[1]Container sizes'!I25</f>
        <v>0</v>
      </c>
      <c r="H3" s="7">
        <f>ROUNDDOWN((12.03-L3)/'[1]Container sizes'!I25,0)*C3</f>
        <v>60</v>
      </c>
      <c r="K3" t="s">
        <v>119</v>
      </c>
      <c r="L3">
        <f>SUM(G3:G14)</f>
        <v>0</v>
      </c>
    </row>
    <row r="4" spans="2:12" x14ac:dyDescent="0.2">
      <c r="B4" s="13" t="s">
        <v>73</v>
      </c>
      <c r="C4" s="12">
        <v>4</v>
      </c>
      <c r="D4" s="12">
        <v>0</v>
      </c>
      <c r="E4" s="12">
        <f t="shared" si="0"/>
        <v>0</v>
      </c>
      <c r="F4" s="12">
        <f t="shared" si="1"/>
        <v>0</v>
      </c>
      <c r="G4" s="12">
        <f>F4*'[1]Container sizes'!I25</f>
        <v>0</v>
      </c>
      <c r="H4" s="7">
        <f>ROUNDDOWN((12.03-L3)/'[1]Container sizes'!I25,0)*C4</f>
        <v>40</v>
      </c>
      <c r="K4" t="s">
        <v>118</v>
      </c>
      <c r="L4">
        <f>(12.03-L3)*2.34*2.35</f>
        <v>66.152969999999996</v>
      </c>
    </row>
    <row r="5" spans="2:12" x14ac:dyDescent="0.2">
      <c r="B5" s="11" t="s">
        <v>117</v>
      </c>
      <c r="C5" s="10">
        <v>2</v>
      </c>
      <c r="D5" s="10">
        <v>0</v>
      </c>
      <c r="E5" s="10">
        <f t="shared" si="0"/>
        <v>0</v>
      </c>
      <c r="F5" s="10">
        <f t="shared" si="1"/>
        <v>0</v>
      </c>
      <c r="G5" s="10">
        <f>F5*'[1]Container sizes'!I25</f>
        <v>0</v>
      </c>
      <c r="H5" s="7">
        <f>ROUNDDOWN((12.03-L3)/'[1]Container sizes'!I25,0)*C5</f>
        <v>20</v>
      </c>
      <c r="K5" t="s">
        <v>116</v>
      </c>
      <c r="L5">
        <f>(COUNT(J$17:J$1048576))-1</f>
        <v>-1</v>
      </c>
    </row>
    <row r="6" spans="2:12" x14ac:dyDescent="0.2">
      <c r="B6" s="13" t="s">
        <v>115</v>
      </c>
      <c r="C6" s="12">
        <v>6</v>
      </c>
      <c r="D6" s="12">
        <v>0</v>
      </c>
      <c r="E6" s="12">
        <f t="shared" si="0"/>
        <v>0</v>
      </c>
      <c r="F6" s="12">
        <f t="shared" si="1"/>
        <v>0</v>
      </c>
      <c r="G6" s="12">
        <f>F6*'[1]Container sizes'!I24</f>
        <v>0</v>
      </c>
      <c r="H6" s="7">
        <f>ROUNDDOWN((12.03-L3)/'[1]Container sizes'!I24,0)*C6</f>
        <v>66</v>
      </c>
      <c r="K6" t="s">
        <v>114</v>
      </c>
      <c r="L6">
        <f>SUMPRODUCT(I:I,J:J)</f>
        <v>0</v>
      </c>
    </row>
    <row r="7" spans="2:12" x14ac:dyDescent="0.2">
      <c r="B7" s="11" t="s">
        <v>113</v>
      </c>
      <c r="C7" s="10">
        <v>4</v>
      </c>
      <c r="D7" s="10">
        <v>0</v>
      </c>
      <c r="E7" s="10">
        <f t="shared" si="0"/>
        <v>0</v>
      </c>
      <c r="F7" s="10">
        <f t="shared" si="1"/>
        <v>0</v>
      </c>
      <c r="G7" s="10">
        <f>F7*'[1]Container sizes'!I24</f>
        <v>0</v>
      </c>
      <c r="H7" s="7">
        <f>ROUNDDOWN((12.03-L3)/'[1]Container sizes'!I24,0)*C7</f>
        <v>44</v>
      </c>
      <c r="K7" t="s">
        <v>112</v>
      </c>
      <c r="L7">
        <f>ROUNDUP(L3/12.03,1)</f>
        <v>0</v>
      </c>
    </row>
    <row r="8" spans="2:12" x14ac:dyDescent="0.2">
      <c r="B8" s="13" t="s">
        <v>111</v>
      </c>
      <c r="C8" s="12">
        <v>2</v>
      </c>
      <c r="D8" s="12">
        <v>0</v>
      </c>
      <c r="E8" s="12">
        <f t="shared" si="0"/>
        <v>0</v>
      </c>
      <c r="F8" s="12">
        <f t="shared" si="1"/>
        <v>0</v>
      </c>
      <c r="G8" s="12">
        <f>F8*'[1]Container sizes'!I24</f>
        <v>0</v>
      </c>
      <c r="H8" s="7">
        <f>ROUNDDOWN((12.03-L3)/'[1]Container sizes'!I24,0)*C8</f>
        <v>22</v>
      </c>
      <c r="K8" t="s">
        <v>110</v>
      </c>
      <c r="L8">
        <f>ROUNDDOWN(R34/12.03,1)</f>
        <v>0</v>
      </c>
    </row>
    <row r="9" spans="2:12" x14ac:dyDescent="0.2">
      <c r="B9" s="11" t="s">
        <v>109</v>
      </c>
      <c r="C9" s="10">
        <v>6</v>
      </c>
      <c r="D9" s="10">
        <v>0</v>
      </c>
      <c r="E9" s="10">
        <f t="shared" si="0"/>
        <v>0</v>
      </c>
      <c r="F9" s="10">
        <f t="shared" si="1"/>
        <v>0</v>
      </c>
      <c r="G9" s="10">
        <f>F9*'[1]Container sizes'!I23</f>
        <v>0</v>
      </c>
      <c r="H9" s="7">
        <f>ROUNDDOWN((12.03-L3)/'[1]Container sizes'!I23,0)*C9</f>
        <v>90</v>
      </c>
    </row>
    <row r="10" spans="2:12" x14ac:dyDescent="0.2">
      <c r="B10" s="13" t="s">
        <v>55</v>
      </c>
      <c r="C10" s="12">
        <v>4</v>
      </c>
      <c r="D10" s="12">
        <v>0</v>
      </c>
      <c r="E10" s="12">
        <f t="shared" si="0"/>
        <v>0</v>
      </c>
      <c r="F10" s="12">
        <f t="shared" si="1"/>
        <v>0</v>
      </c>
      <c r="G10" s="12">
        <f>F10*'[1]Container sizes'!I23</f>
        <v>0</v>
      </c>
      <c r="H10" s="7">
        <f>ROUNDDOWN((12.03-L3)/'[1]Container sizes'!I23,0)*C10</f>
        <v>60</v>
      </c>
    </row>
    <row r="11" spans="2:12" x14ac:dyDescent="0.2">
      <c r="B11" s="11" t="s">
        <v>50</v>
      </c>
      <c r="C11" s="10">
        <v>2</v>
      </c>
      <c r="D11" s="10">
        <v>0</v>
      </c>
      <c r="E11" s="10">
        <f t="shared" si="0"/>
        <v>0</v>
      </c>
      <c r="F11" s="10">
        <f t="shared" si="1"/>
        <v>0</v>
      </c>
      <c r="G11" s="10">
        <f>F11*'[1]Container sizes'!I23</f>
        <v>0</v>
      </c>
      <c r="H11" s="7">
        <f>ROUNDDOWN((12.03-L3)/'[1]Container sizes'!I23,0)*C11</f>
        <v>30</v>
      </c>
    </row>
    <row r="12" spans="2:12" x14ac:dyDescent="0.2">
      <c r="B12" s="13" t="s">
        <v>108</v>
      </c>
      <c r="C12" s="12">
        <v>9</v>
      </c>
      <c r="D12" s="12">
        <v>0</v>
      </c>
      <c r="E12" s="12">
        <f t="shared" si="0"/>
        <v>0</v>
      </c>
      <c r="F12" s="12">
        <f t="shared" si="1"/>
        <v>0</v>
      </c>
      <c r="G12" s="12">
        <f>F12*'[1]Container sizes'!I22</f>
        <v>0</v>
      </c>
      <c r="H12" s="7">
        <f>ROUNDDOWN((12.03-L3)/'[1]Container sizes'!I22,0)*C12</f>
        <v>135</v>
      </c>
    </row>
    <row r="13" spans="2:12" x14ac:dyDescent="0.2">
      <c r="B13" s="11" t="s">
        <v>107</v>
      </c>
      <c r="C13" s="10">
        <v>6</v>
      </c>
      <c r="D13" s="10">
        <v>0</v>
      </c>
      <c r="E13" s="10">
        <f t="shared" si="0"/>
        <v>0</v>
      </c>
      <c r="F13" s="10">
        <f t="shared" si="1"/>
        <v>0</v>
      </c>
      <c r="G13" s="10">
        <f>F13*'[1]Container sizes'!I22</f>
        <v>0</v>
      </c>
      <c r="H13" s="7">
        <f>ROUNDDOWN((12.03-L3)/'[1]Container sizes'!I22,0)*C13</f>
        <v>90</v>
      </c>
    </row>
    <row r="14" spans="2:12" x14ac:dyDescent="0.2">
      <c r="B14" s="9" t="s">
        <v>106</v>
      </c>
      <c r="C14" s="8">
        <v>3</v>
      </c>
      <c r="D14" s="8">
        <v>0</v>
      </c>
      <c r="E14" s="8">
        <f t="shared" si="0"/>
        <v>0</v>
      </c>
      <c r="F14" s="8">
        <f t="shared" si="1"/>
        <v>0</v>
      </c>
      <c r="G14" s="8">
        <f>F14*'[1]Container sizes'!I22</f>
        <v>0</v>
      </c>
      <c r="H14" s="7">
        <f>ROUNDDOWN((12.03-L3)/'[1]Container sizes'!I22,0)*C14</f>
        <v>45</v>
      </c>
    </row>
    <row r="15" spans="2:12" x14ac:dyDescent="0.2">
      <c r="B15" s="6" t="s">
        <v>3</v>
      </c>
    </row>
    <row r="19" spans="2:16" ht="16" x14ac:dyDescent="0.2">
      <c r="B19" s="1" t="s">
        <v>105</v>
      </c>
      <c r="C19" t="s">
        <v>104</v>
      </c>
      <c r="D19" t="s">
        <v>103</v>
      </c>
      <c r="E19" t="s">
        <v>102</v>
      </c>
      <c r="F19" t="s">
        <v>101</v>
      </c>
      <c r="G19" t="s">
        <v>100</v>
      </c>
      <c r="H19" t="s">
        <v>99</v>
      </c>
      <c r="I19" s="17" t="s">
        <v>98</v>
      </c>
      <c r="J19" s="5" t="s">
        <v>97</v>
      </c>
      <c r="K19" s="5" t="s">
        <v>96</v>
      </c>
      <c r="L19" s="5" t="s">
        <v>95</v>
      </c>
      <c r="M19" s="5" t="s">
        <v>94</v>
      </c>
      <c r="N19" s="5" t="s">
        <v>93</v>
      </c>
      <c r="O19" s="5" t="s">
        <v>92</v>
      </c>
      <c r="P19" s="4" t="s">
        <v>91</v>
      </c>
    </row>
    <row r="20" spans="2:16" x14ac:dyDescent="0.2">
      <c r="B20" t="s">
        <v>90</v>
      </c>
      <c r="C20" s="2" t="s">
        <v>89</v>
      </c>
      <c r="D20" s="2" t="s">
        <v>88</v>
      </c>
      <c r="E20" s="2" t="s">
        <v>74</v>
      </c>
      <c r="F20" s="2" t="s">
        <v>73</v>
      </c>
      <c r="G20" s="2">
        <v>40</v>
      </c>
      <c r="H20" s="2">
        <v>4</v>
      </c>
      <c r="I20" s="2">
        <v>32</v>
      </c>
      <c r="J20" s="2" t="str">
        <f>IF(ROW()-ROW($J$20)+1 &lt;=ROWS(Merge1[]),"","")</f>
        <v/>
      </c>
      <c r="K20" s="2" t="s">
        <v>2</v>
      </c>
      <c r="L20" s="2" t="s">
        <v>1</v>
      </c>
      <c r="M20" s="2" t="s">
        <v>0</v>
      </c>
      <c r="N20" s="2"/>
      <c r="O20" s="2"/>
      <c r="P20" s="2"/>
    </row>
    <row r="21" spans="2:16" x14ac:dyDescent="0.2">
      <c r="B21" t="s">
        <v>87</v>
      </c>
      <c r="C21" s="2" t="s">
        <v>86</v>
      </c>
      <c r="D21" s="2" t="s">
        <v>85</v>
      </c>
      <c r="E21" s="2" t="s">
        <v>81</v>
      </c>
      <c r="F21" s="2" t="s">
        <v>73</v>
      </c>
      <c r="G21" s="2">
        <v>40</v>
      </c>
      <c r="H21" s="2">
        <v>4</v>
      </c>
      <c r="I21" s="2">
        <v>24</v>
      </c>
      <c r="J21" s="2" t="str">
        <f>IF(ROW()-ROW($J$20)+1 &lt;=ROWS(Merge1[]),"","")</f>
        <v/>
      </c>
      <c r="K21" s="2" t="s">
        <v>2</v>
      </c>
      <c r="L21" s="2" t="s">
        <v>1</v>
      </c>
      <c r="M21" s="2" t="s">
        <v>0</v>
      </c>
      <c r="N21" s="2"/>
      <c r="O21" s="2"/>
      <c r="P21" s="2"/>
    </row>
    <row r="22" spans="2:16" x14ac:dyDescent="0.2">
      <c r="B22" t="s">
        <v>84</v>
      </c>
      <c r="C22" s="2" t="s">
        <v>83</v>
      </c>
      <c r="D22" s="2" t="s">
        <v>82</v>
      </c>
      <c r="E22" s="2" t="s">
        <v>81</v>
      </c>
      <c r="F22" s="2" t="s">
        <v>73</v>
      </c>
      <c r="G22" s="2">
        <v>40</v>
      </c>
      <c r="H22" s="2">
        <v>4</v>
      </c>
      <c r="I22" s="2">
        <v>24</v>
      </c>
      <c r="J22" s="2" t="str">
        <f>IF(ROW()-ROW($J$20)+1 &lt;=ROWS(Merge1[]),"","")</f>
        <v/>
      </c>
      <c r="K22" s="2" t="s">
        <v>2</v>
      </c>
      <c r="L22" s="2" t="s">
        <v>1</v>
      </c>
      <c r="M22" s="2" t="s">
        <v>0</v>
      </c>
      <c r="N22" s="2"/>
      <c r="O22" s="2"/>
      <c r="P22" s="2"/>
    </row>
    <row r="23" spans="2:16" x14ac:dyDescent="0.2">
      <c r="B23" t="s">
        <v>80</v>
      </c>
      <c r="C23" s="2" t="s">
        <v>79</v>
      </c>
      <c r="D23" s="2" t="s">
        <v>78</v>
      </c>
      <c r="E23" s="2" t="s">
        <v>74</v>
      </c>
      <c r="F23" s="2" t="s">
        <v>73</v>
      </c>
      <c r="G23" s="2">
        <v>40</v>
      </c>
      <c r="H23" s="2">
        <v>4</v>
      </c>
      <c r="I23" s="2">
        <v>32</v>
      </c>
      <c r="J23" s="2" t="str">
        <f>IF(ROW()-ROW($J$20)+1 &lt;=ROWS(Merge1[]),"","")</f>
        <v/>
      </c>
      <c r="K23" s="2" t="s">
        <v>2</v>
      </c>
      <c r="L23" s="2" t="s">
        <v>1</v>
      </c>
      <c r="M23" s="2" t="s">
        <v>0</v>
      </c>
      <c r="N23" s="2"/>
      <c r="O23" s="2"/>
      <c r="P23" s="2"/>
    </row>
    <row r="24" spans="2:16" x14ac:dyDescent="0.2">
      <c r="B24" t="s">
        <v>77</v>
      </c>
      <c r="C24" s="2" t="s">
        <v>76</v>
      </c>
      <c r="D24" s="2" t="s">
        <v>75</v>
      </c>
      <c r="E24" s="2" t="s">
        <v>74</v>
      </c>
      <c r="F24" s="2" t="s">
        <v>73</v>
      </c>
      <c r="G24" s="2">
        <v>40</v>
      </c>
      <c r="H24" s="2">
        <v>4</v>
      </c>
      <c r="I24" s="2">
        <v>80</v>
      </c>
      <c r="J24" s="2" t="str">
        <f>IF(ROW()-ROW($J$20)+1 &lt;=ROWS(Merge1[]),"","")</f>
        <v/>
      </c>
      <c r="K24" s="2" t="s">
        <v>2</v>
      </c>
      <c r="L24" s="2" t="s">
        <v>1</v>
      </c>
      <c r="M24" s="2" t="s">
        <v>0</v>
      </c>
      <c r="N24" s="2"/>
      <c r="O24" s="2"/>
      <c r="P24" s="2"/>
    </row>
    <row r="25" spans="2:16" x14ac:dyDescent="0.2">
      <c r="B25" t="s">
        <v>72</v>
      </c>
      <c r="C25" s="2" t="s">
        <v>71</v>
      </c>
      <c r="D25" s="2" t="s">
        <v>70</v>
      </c>
      <c r="E25" s="2" t="s">
        <v>56</v>
      </c>
      <c r="F25" s="2" t="s">
        <v>55</v>
      </c>
      <c r="G25" s="2">
        <v>60</v>
      </c>
      <c r="H25" s="2">
        <v>4</v>
      </c>
      <c r="I25" s="2">
        <v>65</v>
      </c>
      <c r="J25" s="2" t="str">
        <f>IF(ROW()-ROW($J$20)+1 &lt;=ROWS(Merge1[]),"","")</f>
        <v/>
      </c>
      <c r="K25" s="2" t="s">
        <v>2</v>
      </c>
      <c r="L25" s="2" t="s">
        <v>1</v>
      </c>
      <c r="M25" s="2" t="s">
        <v>0</v>
      </c>
      <c r="N25" s="2"/>
      <c r="O25" s="2"/>
      <c r="P25" s="2"/>
    </row>
    <row r="26" spans="2:16" x14ac:dyDescent="0.2">
      <c r="B26" t="s">
        <v>69</v>
      </c>
      <c r="C26" s="2" t="s">
        <v>68</v>
      </c>
      <c r="D26" s="2" t="s">
        <v>67</v>
      </c>
      <c r="E26" s="2" t="s">
        <v>60</v>
      </c>
      <c r="F26" s="2" t="s">
        <v>55</v>
      </c>
      <c r="G26" s="2">
        <v>60</v>
      </c>
      <c r="H26" s="2">
        <v>4</v>
      </c>
      <c r="I26" s="2">
        <v>1</v>
      </c>
      <c r="J26" s="2" t="str">
        <f>IF(ROW()-ROW($J$20)+1 &lt;=ROWS(Merge1[]),"","")</f>
        <v/>
      </c>
      <c r="K26" s="2" t="s">
        <v>2</v>
      </c>
      <c r="L26" s="2" t="s">
        <v>1</v>
      </c>
      <c r="M26" s="2" t="s">
        <v>0</v>
      </c>
      <c r="N26" s="2"/>
      <c r="O26" s="2"/>
      <c r="P26" s="2"/>
    </row>
    <row r="27" spans="2:16" x14ac:dyDescent="0.2">
      <c r="B27" t="s">
        <v>66</v>
      </c>
      <c r="C27" s="2" t="s">
        <v>65</v>
      </c>
      <c r="D27" s="2" t="s">
        <v>64</v>
      </c>
      <c r="E27" s="2" t="s">
        <v>56</v>
      </c>
      <c r="F27" s="2" t="s">
        <v>55</v>
      </c>
      <c r="G27" s="2">
        <v>60</v>
      </c>
      <c r="H27" s="2">
        <v>4</v>
      </c>
      <c r="I27" s="2">
        <v>4</v>
      </c>
      <c r="J27" s="2" t="str">
        <f>IF(ROW()-ROW($J$20)+1 &lt;=ROWS(Merge1[]),"","")</f>
        <v/>
      </c>
      <c r="K27" s="2" t="s">
        <v>2</v>
      </c>
      <c r="L27" s="2" t="s">
        <v>1</v>
      </c>
      <c r="M27" s="2" t="s">
        <v>0</v>
      </c>
      <c r="N27" s="2"/>
      <c r="O27" s="2"/>
      <c r="P27" s="2"/>
    </row>
    <row r="28" spans="2:16" x14ac:dyDescent="0.2">
      <c r="B28" t="s">
        <v>63</v>
      </c>
      <c r="C28" s="2" t="s">
        <v>62</v>
      </c>
      <c r="D28" s="2" t="s">
        <v>61</v>
      </c>
      <c r="E28" s="2" t="s">
        <v>60</v>
      </c>
      <c r="F28" s="2" t="s">
        <v>55</v>
      </c>
      <c r="G28" s="2">
        <v>60</v>
      </c>
      <c r="H28" s="2">
        <v>4</v>
      </c>
      <c r="I28" s="2">
        <v>1</v>
      </c>
      <c r="J28" s="2" t="str">
        <f>IF(ROW()-ROW($J$20)+1 &lt;=ROWS(Merge1[]),"","")</f>
        <v/>
      </c>
      <c r="K28" s="2" t="s">
        <v>2</v>
      </c>
      <c r="L28" s="2" t="s">
        <v>1</v>
      </c>
      <c r="M28" s="2" t="s">
        <v>0</v>
      </c>
      <c r="N28" s="2"/>
      <c r="O28" s="2"/>
      <c r="P28" s="2"/>
    </row>
    <row r="29" spans="2:16" x14ac:dyDescent="0.2">
      <c r="B29" t="s">
        <v>59</v>
      </c>
      <c r="C29" s="2" t="s">
        <v>58</v>
      </c>
      <c r="D29" s="2" t="s">
        <v>57</v>
      </c>
      <c r="E29" s="2" t="s">
        <v>56</v>
      </c>
      <c r="F29" s="2" t="s">
        <v>55</v>
      </c>
      <c r="G29" s="2">
        <v>60</v>
      </c>
      <c r="H29" s="2">
        <v>4</v>
      </c>
      <c r="I29" s="2">
        <v>1</v>
      </c>
      <c r="J29" s="2" t="str">
        <f>IF(ROW()-ROW($J$20)+1 &lt;=ROWS(Merge1[]),"","")</f>
        <v/>
      </c>
      <c r="K29" s="2" t="s">
        <v>2</v>
      </c>
      <c r="L29" s="2" t="s">
        <v>1</v>
      </c>
      <c r="M29" s="2" t="s">
        <v>0</v>
      </c>
      <c r="N29" s="2"/>
      <c r="O29" s="2"/>
      <c r="P29" s="2"/>
    </row>
    <row r="30" spans="2:16" x14ac:dyDescent="0.2">
      <c r="B30" t="s">
        <v>54</v>
      </c>
      <c r="C30" s="2" t="s">
        <v>53</v>
      </c>
      <c r="D30" s="2" t="s">
        <v>52</v>
      </c>
      <c r="E30" s="2" t="s">
        <v>51</v>
      </c>
      <c r="F30" s="2" t="s">
        <v>50</v>
      </c>
      <c r="G30" s="2">
        <v>30</v>
      </c>
      <c r="H30" s="2">
        <v>2</v>
      </c>
      <c r="I30" s="2">
        <v>0</v>
      </c>
      <c r="J30" s="2"/>
      <c r="K30" s="2" t="s">
        <v>2</v>
      </c>
      <c r="L30" s="2" t="s">
        <v>1</v>
      </c>
      <c r="M30" s="2" t="s">
        <v>0</v>
      </c>
      <c r="N30" s="2"/>
      <c r="O30" s="2"/>
      <c r="P30" s="2"/>
    </row>
    <row r="31" spans="2:16" x14ac:dyDescent="0.2">
      <c r="B31" t="s">
        <v>49</v>
      </c>
      <c r="C31" s="2" t="s">
        <v>48</v>
      </c>
      <c r="D31" s="2" t="s">
        <v>47</v>
      </c>
      <c r="E31" s="2" t="s">
        <v>46</v>
      </c>
      <c r="F31" s="2" t="s">
        <v>3</v>
      </c>
      <c r="G31" s="2"/>
      <c r="H31" s="2"/>
      <c r="I31" s="2">
        <v>6</v>
      </c>
      <c r="J31" s="2" t="str">
        <f>IF(ROW()-ROW($J$20)+1 &lt;=ROWS(Merge1[]),"","")</f>
        <v/>
      </c>
      <c r="K31" s="2" t="s">
        <v>2</v>
      </c>
      <c r="L31" s="2" t="s">
        <v>1</v>
      </c>
      <c r="M31" s="2" t="s">
        <v>0</v>
      </c>
      <c r="N31" s="2"/>
      <c r="O31" s="2"/>
      <c r="P31" s="2"/>
    </row>
    <row r="32" spans="2:16" x14ac:dyDescent="0.2">
      <c r="B32" t="s">
        <v>45</v>
      </c>
      <c r="C32" s="2" t="s">
        <v>44</v>
      </c>
      <c r="D32" s="2" t="s">
        <v>43</v>
      </c>
      <c r="E32" s="2" t="s">
        <v>42</v>
      </c>
      <c r="F32" s="2" t="s">
        <v>3</v>
      </c>
      <c r="G32" s="2"/>
      <c r="H32" s="2"/>
      <c r="I32" s="2">
        <v>6</v>
      </c>
      <c r="J32" s="2" t="str">
        <f>IF(ROW()-ROW($J$20)+1 &lt;=ROWS(Merge1[]),"","")</f>
        <v/>
      </c>
      <c r="K32" s="2" t="s">
        <v>2</v>
      </c>
      <c r="L32" s="2" t="s">
        <v>1</v>
      </c>
      <c r="M32" s="2" t="s">
        <v>0</v>
      </c>
      <c r="N32" s="2"/>
      <c r="O32" s="2"/>
      <c r="P32" s="2"/>
    </row>
    <row r="33" spans="2:16" x14ac:dyDescent="0.2">
      <c r="B33" t="s">
        <v>41</v>
      </c>
      <c r="C33" s="2" t="s">
        <v>40</v>
      </c>
      <c r="D33" s="2" t="s">
        <v>39</v>
      </c>
      <c r="E33" s="2" t="s">
        <v>38</v>
      </c>
      <c r="F33" s="2" t="s">
        <v>3</v>
      </c>
      <c r="G33" s="2"/>
      <c r="H33" s="2"/>
      <c r="I33" s="2">
        <v>8</v>
      </c>
      <c r="J33" s="2" t="str">
        <f>IF(ROW()-ROW($J$20)+1 &lt;=ROWS(Merge1[]),"","")</f>
        <v/>
      </c>
      <c r="K33" s="2" t="s">
        <v>2</v>
      </c>
      <c r="L33" s="2" t="s">
        <v>1</v>
      </c>
      <c r="M33" s="2" t="s">
        <v>0</v>
      </c>
      <c r="N33" s="2"/>
      <c r="O33" s="2"/>
      <c r="P33" s="2"/>
    </row>
    <row r="34" spans="2:16" x14ac:dyDescent="0.2">
      <c r="B34" t="s">
        <v>37</v>
      </c>
      <c r="C34" s="2" t="s">
        <v>36</v>
      </c>
      <c r="D34" s="2" t="s">
        <v>35</v>
      </c>
      <c r="E34" s="2" t="s">
        <v>34</v>
      </c>
      <c r="F34" s="2" t="s">
        <v>3</v>
      </c>
      <c r="G34" s="2"/>
      <c r="H34" s="2"/>
      <c r="I34" s="2">
        <v>9</v>
      </c>
      <c r="J34" s="2" t="str">
        <f>IF(ROW()-ROW($J$20)+1 &lt;=ROWS(Merge1[]),"","")</f>
        <v/>
      </c>
      <c r="K34" s="2" t="s">
        <v>2</v>
      </c>
      <c r="L34" s="2" t="s">
        <v>1</v>
      </c>
      <c r="M34" s="2" t="s">
        <v>0</v>
      </c>
      <c r="N34" s="2"/>
      <c r="O34" s="2"/>
      <c r="P34" s="2"/>
    </row>
    <row r="35" spans="2:16" x14ac:dyDescent="0.2">
      <c r="B35" t="s">
        <v>33</v>
      </c>
      <c r="C35" s="2" t="s">
        <v>32</v>
      </c>
      <c r="D35" s="2" t="s">
        <v>31</v>
      </c>
      <c r="E35" s="2" t="s">
        <v>30</v>
      </c>
      <c r="F35" s="2" t="s">
        <v>3</v>
      </c>
      <c r="G35" s="2"/>
      <c r="H35" s="2"/>
      <c r="I35" s="2">
        <v>6</v>
      </c>
      <c r="J35" s="2" t="str">
        <f>IF(ROW()-ROW($J$20)+1 &lt;=ROWS(Merge1[]),"","")</f>
        <v/>
      </c>
      <c r="K35" s="2" t="s">
        <v>2</v>
      </c>
      <c r="L35" s="2" t="s">
        <v>1</v>
      </c>
      <c r="M35" s="2" t="s">
        <v>0</v>
      </c>
      <c r="N35" s="2"/>
      <c r="O35" s="2"/>
      <c r="P35" s="2"/>
    </row>
    <row r="36" spans="2:16" x14ac:dyDescent="0.2">
      <c r="B36" t="s">
        <v>29</v>
      </c>
      <c r="C36" s="2" t="s">
        <v>28</v>
      </c>
      <c r="D36" s="2" t="s">
        <v>27</v>
      </c>
      <c r="E36" s="2" t="s">
        <v>26</v>
      </c>
      <c r="F36" s="2" t="s">
        <v>3</v>
      </c>
      <c r="G36" s="2"/>
      <c r="H36" s="2"/>
      <c r="I36" s="2">
        <v>7</v>
      </c>
      <c r="J36" s="2" t="str">
        <f>IF(ROW()-ROW($J$20)+1 &lt;=ROWS(Merge1[]),"","")</f>
        <v/>
      </c>
      <c r="K36" s="2" t="s">
        <v>2</v>
      </c>
      <c r="L36" s="2" t="s">
        <v>1</v>
      </c>
      <c r="M36" s="2" t="s">
        <v>0</v>
      </c>
      <c r="N36" s="2"/>
      <c r="O36" s="2"/>
      <c r="P36" s="2"/>
    </row>
    <row r="37" spans="2:16" x14ac:dyDescent="0.2">
      <c r="B37" t="s">
        <v>25</v>
      </c>
      <c r="C37" s="2" t="s">
        <v>24</v>
      </c>
      <c r="D37" s="2" t="s">
        <v>23</v>
      </c>
      <c r="E37" s="2" t="s">
        <v>19</v>
      </c>
      <c r="F37" s="2" t="s">
        <v>3</v>
      </c>
      <c r="G37" s="2"/>
      <c r="H37" s="2"/>
      <c r="I37" s="2">
        <v>9</v>
      </c>
      <c r="J37" s="2" t="str">
        <f>IF(ROW()-ROW($J$20)+1 &lt;=ROWS(Merge1[]),"","")</f>
        <v/>
      </c>
      <c r="K37" s="2" t="s">
        <v>2</v>
      </c>
      <c r="L37" s="2" t="s">
        <v>1</v>
      </c>
      <c r="M37" s="2" t="s">
        <v>0</v>
      </c>
      <c r="N37" s="2"/>
      <c r="O37" s="2"/>
      <c r="P37" s="2"/>
    </row>
    <row r="38" spans="2:16" x14ac:dyDescent="0.2">
      <c r="B38" t="s">
        <v>22</v>
      </c>
      <c r="C38" s="2" t="s">
        <v>21</v>
      </c>
      <c r="D38" s="2" t="s">
        <v>20</v>
      </c>
      <c r="E38" s="2" t="s">
        <v>19</v>
      </c>
      <c r="F38" s="2" t="s">
        <v>3</v>
      </c>
      <c r="G38" s="2"/>
      <c r="H38" s="2"/>
      <c r="I38" s="2">
        <v>9</v>
      </c>
      <c r="J38" s="2" t="str">
        <f>IF(ROW()-ROW($J$20)+1 &lt;=ROWS(Merge1[]),"","")</f>
        <v/>
      </c>
      <c r="K38" s="2" t="s">
        <v>2</v>
      </c>
      <c r="L38" s="2" t="s">
        <v>1</v>
      </c>
      <c r="M38" s="2" t="s">
        <v>0</v>
      </c>
      <c r="N38" s="2"/>
      <c r="O38" s="2"/>
      <c r="P38" s="2"/>
    </row>
    <row r="39" spans="2:16" x14ac:dyDescent="0.2">
      <c r="B39" t="s">
        <v>18</v>
      </c>
      <c r="C39" s="2" t="s">
        <v>17</v>
      </c>
      <c r="D39" s="2" t="s">
        <v>16</v>
      </c>
      <c r="E39" s="2" t="s">
        <v>15</v>
      </c>
      <c r="F39" s="2" t="s">
        <v>3</v>
      </c>
      <c r="G39" s="2"/>
      <c r="H39" s="2"/>
      <c r="I39" s="2">
        <v>8</v>
      </c>
      <c r="J39" s="2" t="str">
        <f>IF(ROW()-ROW($J$20)+1 &lt;=ROWS(Merge1[]),"","")</f>
        <v/>
      </c>
      <c r="K39" s="2" t="s">
        <v>2</v>
      </c>
      <c r="L39" s="2" t="s">
        <v>1</v>
      </c>
      <c r="M39" s="2" t="s">
        <v>0</v>
      </c>
      <c r="N39" s="2"/>
      <c r="O39" s="2"/>
      <c r="P39" s="2"/>
    </row>
    <row r="40" spans="2:16" x14ac:dyDescent="0.2">
      <c r="B40" t="s">
        <v>14</v>
      </c>
      <c r="C40" s="2" t="s">
        <v>13</v>
      </c>
      <c r="D40" s="2" t="s">
        <v>12</v>
      </c>
      <c r="E40" s="2" t="s">
        <v>8</v>
      </c>
      <c r="F40" s="2" t="s">
        <v>3</v>
      </c>
      <c r="G40" s="2"/>
      <c r="H40" s="2"/>
      <c r="I40" s="2">
        <v>6</v>
      </c>
      <c r="J40" s="2" t="str">
        <f>IF(ROW()-ROW($J$20)+1 &lt;=ROWS(Merge1[]),"","")</f>
        <v/>
      </c>
      <c r="K40" s="2" t="s">
        <v>2</v>
      </c>
      <c r="L40" s="2" t="s">
        <v>1</v>
      </c>
      <c r="M40" s="2" t="s">
        <v>0</v>
      </c>
      <c r="N40" s="3"/>
      <c r="O40" s="2"/>
      <c r="P40" s="2"/>
    </row>
    <row r="41" spans="2:16" x14ac:dyDescent="0.2">
      <c r="B41" t="s">
        <v>11</v>
      </c>
      <c r="C41" s="2" t="s">
        <v>10</v>
      </c>
      <c r="D41" s="2" t="s">
        <v>9</v>
      </c>
      <c r="E41" s="2" t="s">
        <v>8</v>
      </c>
      <c r="F41" s="2" t="s">
        <v>3</v>
      </c>
      <c r="G41" s="2"/>
      <c r="H41" s="2"/>
      <c r="I41" s="2">
        <v>6</v>
      </c>
      <c r="J41" s="2" t="str">
        <f>IF(ROW()-ROW($J$20)+1 &lt;=ROWS(Merge1[]),"","")</f>
        <v/>
      </c>
      <c r="K41" s="2" t="s">
        <v>2</v>
      </c>
      <c r="L41" s="2" t="s">
        <v>1</v>
      </c>
      <c r="M41" s="2" t="s">
        <v>0</v>
      </c>
      <c r="N41" s="2"/>
      <c r="O41" s="2"/>
      <c r="P41" s="2"/>
    </row>
    <row r="42" spans="2:16" x14ac:dyDescent="0.2">
      <c r="B42" t="s">
        <v>7</v>
      </c>
      <c r="C42" s="2" t="s">
        <v>6</v>
      </c>
      <c r="D42" s="2" t="s">
        <v>5</v>
      </c>
      <c r="E42" s="2" t="s">
        <v>4</v>
      </c>
      <c r="F42" s="2" t="s">
        <v>3</v>
      </c>
      <c r="G42" s="2"/>
      <c r="H42" s="2"/>
      <c r="I42" s="2">
        <v>5</v>
      </c>
      <c r="J42" s="2" t="str">
        <f>IF(ROW()-ROW($J$20)+1 &lt;=ROWS(Merge1[]),"","")</f>
        <v/>
      </c>
      <c r="K42" s="2" t="s">
        <v>2</v>
      </c>
      <c r="L42" s="2" t="s">
        <v>1</v>
      </c>
      <c r="M42" s="2" t="s">
        <v>0</v>
      </c>
      <c r="N42" s="2"/>
      <c r="O42" s="2"/>
      <c r="P42" s="2"/>
    </row>
    <row r="43" spans="2:16" x14ac:dyDescent="0.2">
      <c r="J43" t="str">
        <f>IF(ROW()-ROW($J$20)+1 &lt;=ROWS(Merge1[]),"","")</f>
        <v/>
      </c>
    </row>
    <row r="44" spans="2:16" x14ac:dyDescent="0.2">
      <c r="J44" t="str">
        <f>IF(ROW()-ROW($J$20)+1 &lt;=ROWS(Merge1[]),"","")</f>
        <v/>
      </c>
    </row>
    <row r="45" spans="2:16" x14ac:dyDescent="0.2">
      <c r="J45" t="str">
        <f>IF(ROW()-ROW($J$20)+1 &lt;=ROWS(Merge1[]),"","")</f>
        <v/>
      </c>
    </row>
    <row r="46" spans="2:16" x14ac:dyDescent="0.2">
      <c r="J46" t="str">
        <f>IF(ROW()-ROW($J$20)+1 &lt;=ROWS(Merge1[]),"","")</f>
        <v/>
      </c>
    </row>
    <row r="47" spans="2:16" x14ac:dyDescent="0.2">
      <c r="J47" t="str">
        <f>IF(ROW()-ROW($J$20)+1 &lt;=ROWS(Merge1[]),"","")</f>
        <v/>
      </c>
    </row>
    <row r="48" spans="2:16" x14ac:dyDescent="0.2">
      <c r="J48" t="str">
        <f>IF(ROW()-ROW($J$20)+1 &lt;=ROWS(Merge1[]),"","")</f>
        <v/>
      </c>
    </row>
    <row r="49" spans="10:10" x14ac:dyDescent="0.2">
      <c r="J49" t="str">
        <f>IF(ROW()-ROW($J$20)+1 &lt;=ROWS(Merge1[]),"","")</f>
        <v/>
      </c>
    </row>
    <row r="50" spans="10:10" x14ac:dyDescent="0.2">
      <c r="J50" t="str">
        <f>IF(ROW()-ROW($J$20)+1 &lt;=ROWS(Merge1[]),"","")</f>
        <v/>
      </c>
    </row>
    <row r="51" spans="10:10" x14ac:dyDescent="0.2">
      <c r="J51" t="str">
        <f>IF(ROW()-ROW($J$20)+1 &lt;=ROWS(Merge1[]),"","")</f>
        <v/>
      </c>
    </row>
    <row r="52" spans="10:10" x14ac:dyDescent="0.2">
      <c r="J52" t="str">
        <f>IF(ROW()-ROW($J$20)+1 &lt;=ROWS(Merge1[]),"","")</f>
        <v/>
      </c>
    </row>
    <row r="53" spans="10:10" x14ac:dyDescent="0.2">
      <c r="J53" t="str">
        <f>IF(ROW()-ROW($J$20)+1 &lt;=ROWS(Merge1[]),"","")</f>
        <v/>
      </c>
    </row>
    <row r="54" spans="10:10" x14ac:dyDescent="0.2">
      <c r="J54" t="str">
        <f>IF(ROW()-ROW($J$20)+1 &lt;=ROWS(Merge1[]),"","")</f>
        <v/>
      </c>
    </row>
    <row r="55" spans="10:10" x14ac:dyDescent="0.2">
      <c r="J55" t="str">
        <f>IF(ROW()-ROW($J$20)+1 &lt;=ROWS(Merge1[]),"","")</f>
        <v/>
      </c>
    </row>
    <row r="56" spans="10:10" x14ac:dyDescent="0.2">
      <c r="J56" t="str">
        <f>IF(ROW()-ROW($J$20)+1 &lt;=ROWS(Merge1[]),"","")</f>
        <v/>
      </c>
    </row>
    <row r="57" spans="10:10" x14ac:dyDescent="0.2">
      <c r="J57" t="str">
        <f>IF(ROW()-ROW($J$20)+1 &lt;=ROWS(Merge1[]),"","")</f>
        <v/>
      </c>
    </row>
    <row r="58" spans="10:10" x14ac:dyDescent="0.2">
      <c r="J58" t="str">
        <f>IF(ROW()-ROW($J$20)+1 &lt;=ROWS(Merge1[]),"","")</f>
        <v/>
      </c>
    </row>
    <row r="59" spans="10:10" x14ac:dyDescent="0.2">
      <c r="J59" t="str">
        <f>IF(ROW()-ROW($J$20)+1 &lt;=ROWS(Merge1[]),"","")</f>
        <v/>
      </c>
    </row>
    <row r="60" spans="10:10" x14ac:dyDescent="0.2">
      <c r="J60" t="str">
        <f>IF(ROW()-ROW($J$20)+1 &lt;=ROWS(Merge1[]),"","")</f>
        <v/>
      </c>
    </row>
    <row r="61" spans="10:10" x14ac:dyDescent="0.2">
      <c r="J61" t="str">
        <f>IF(ROW()-ROW($J$20)+1 &lt;=ROWS(Merge1[]),"","")</f>
        <v/>
      </c>
    </row>
    <row r="62" spans="10:10" x14ac:dyDescent="0.2">
      <c r="J62" t="str">
        <f>IF(ROW()-ROW($J$20)+1 &lt;=ROWS(Merge1[]),"","")</f>
        <v/>
      </c>
    </row>
    <row r="63" spans="10:10" x14ac:dyDescent="0.2">
      <c r="J63" t="str">
        <f>IF(ROW()-ROW($J$20)+1 &lt;=ROWS(Merge1[]),"","")</f>
        <v/>
      </c>
    </row>
    <row r="64" spans="10:10" x14ac:dyDescent="0.2">
      <c r="J64" t="str">
        <f>IF(ROW()-ROW($J$20)+1 &lt;=ROWS(Merge1[]),"","")</f>
        <v/>
      </c>
    </row>
    <row r="65" spans="10:10" x14ac:dyDescent="0.2">
      <c r="J65" t="str">
        <f>IF(ROW()-ROW($J$20)+1 &lt;=ROWS(Merge1[]),"","")</f>
        <v/>
      </c>
    </row>
    <row r="66" spans="10:10" x14ac:dyDescent="0.2">
      <c r="J66" t="str">
        <f>IF(ROW()-ROW($J$20)+1 &lt;=ROWS(Merge1[]),"","")</f>
        <v/>
      </c>
    </row>
    <row r="67" spans="10:10" x14ac:dyDescent="0.2">
      <c r="J67" t="str">
        <f>IF(ROW()-ROW($J$20)+1 &lt;=ROWS(Merge1[]),"","")</f>
        <v/>
      </c>
    </row>
    <row r="68" spans="10:10" x14ac:dyDescent="0.2">
      <c r="J68" t="str">
        <f>IF(ROW()-ROW($J$20)+1 &lt;=ROWS(Merge1[]),"","")</f>
        <v/>
      </c>
    </row>
    <row r="69" spans="10:10" x14ac:dyDescent="0.2">
      <c r="J69" t="str">
        <f>IF(ROW()-ROW($J$20)+1 &lt;=ROWS(Merge1[]),"","")</f>
        <v/>
      </c>
    </row>
    <row r="70" spans="10:10" x14ac:dyDescent="0.2">
      <c r="J70" t="str">
        <f>IF(ROW()-ROW($J$20)+1 &lt;=ROWS(Merge1[]),"","")</f>
        <v/>
      </c>
    </row>
    <row r="71" spans="10:10" x14ac:dyDescent="0.2">
      <c r="J71" t="str">
        <f>IF(ROW()-ROW($J$20)+1 &lt;=ROWS(Merge1[]),"","")</f>
        <v/>
      </c>
    </row>
    <row r="72" spans="10:10" x14ac:dyDescent="0.2">
      <c r="J72" t="str">
        <f>IF(ROW()-ROW($J$20)+1 &lt;=ROWS(Merge1[]),"","")</f>
        <v/>
      </c>
    </row>
    <row r="73" spans="10:10" x14ac:dyDescent="0.2">
      <c r="J73" t="str">
        <f>IF(ROW()-ROW($J$20)+1 &lt;=ROWS(Merge1[]),"","")</f>
        <v/>
      </c>
    </row>
    <row r="74" spans="10:10" x14ac:dyDescent="0.2">
      <c r="J74" t="str">
        <f>IF(ROW()-ROW($J$20)+1 &lt;=ROWS(Merge1[]),"","")</f>
        <v/>
      </c>
    </row>
    <row r="75" spans="10:10" x14ac:dyDescent="0.2">
      <c r="J75" t="str">
        <f>IF(ROW()-ROW($J$20)+1 &lt;=ROWS(Merge1[]),"","")</f>
        <v/>
      </c>
    </row>
    <row r="76" spans="10:10" x14ac:dyDescent="0.2">
      <c r="J76" t="str">
        <f>IF(ROW()-ROW($J$20)+1 &lt;=ROWS(Merge1[]),"","")</f>
        <v/>
      </c>
    </row>
    <row r="77" spans="10:10" x14ac:dyDescent="0.2">
      <c r="J77" t="str">
        <f>IF(ROW()-ROW($J$20)+1 &lt;=ROWS(Merge1[]),"","")</f>
        <v/>
      </c>
    </row>
    <row r="78" spans="10:10" x14ac:dyDescent="0.2">
      <c r="J78" t="str">
        <f>IF(ROW()-ROW($J$20)+1 &lt;=ROWS(Merge1[]),"","")</f>
        <v/>
      </c>
    </row>
    <row r="79" spans="10:10" x14ac:dyDescent="0.2">
      <c r="J79" t="str">
        <f>IF(ROW()-ROW($J$20)+1 &lt;=ROWS(Merge1[]),"","")</f>
        <v/>
      </c>
    </row>
    <row r="80" spans="10:10" x14ac:dyDescent="0.2">
      <c r="J80" t="str">
        <f>IF(ROW()-ROW($J$20)+1 &lt;=ROWS(Merge1[]),"","")</f>
        <v/>
      </c>
    </row>
    <row r="81" spans="10:10" x14ac:dyDescent="0.2">
      <c r="J81" t="str">
        <f>IF(ROW()-ROW($J$20)+1 &lt;=ROWS(Merge1[]),"","")</f>
        <v/>
      </c>
    </row>
    <row r="82" spans="10:10" x14ac:dyDescent="0.2">
      <c r="J82" t="str">
        <f>IF(ROW()-ROW($J$20)+1 &lt;=ROWS(Merge1[]),"","")</f>
        <v/>
      </c>
    </row>
    <row r="83" spans="10:10" x14ac:dyDescent="0.2">
      <c r="J83" t="str">
        <f>IF(ROW()-ROW($J$20)+1 &lt;=ROWS(Merge1[]),"","")</f>
        <v/>
      </c>
    </row>
    <row r="84" spans="10:10" x14ac:dyDescent="0.2">
      <c r="J84" t="str">
        <f>IF(ROW()-ROW($J$20)+1 &lt;=ROWS(Merge1[]),"","")</f>
        <v/>
      </c>
    </row>
    <row r="85" spans="10:10" x14ac:dyDescent="0.2">
      <c r="J85" t="str">
        <f>IF(ROW()-ROW($J$20)+1 &lt;=ROWS(Merge1[]),"","")</f>
        <v/>
      </c>
    </row>
    <row r="86" spans="10:10" x14ac:dyDescent="0.2">
      <c r="J86" t="str">
        <f>IF(ROW()-ROW($J$20)+1 &lt;=ROWS(Merge1[]),"","")</f>
        <v/>
      </c>
    </row>
    <row r="87" spans="10:10" x14ac:dyDescent="0.2">
      <c r="J87" t="str">
        <f>IF(ROW()-ROW($J$20)+1 &lt;=ROWS(Merge1[]),"","")</f>
        <v/>
      </c>
    </row>
    <row r="88" spans="10:10" x14ac:dyDescent="0.2">
      <c r="J88" t="str">
        <f>IF(ROW()-ROW($J$20)+1 &lt;=ROWS(Merge1[]),"","")</f>
        <v/>
      </c>
    </row>
    <row r="89" spans="10:10" x14ac:dyDescent="0.2">
      <c r="J89" t="str">
        <f>IF(ROW()-ROW($J$20)+1 &lt;=ROWS(Merge1[]),"","")</f>
        <v/>
      </c>
    </row>
    <row r="90" spans="10:10" x14ac:dyDescent="0.2">
      <c r="J90" t="str">
        <f>IF(ROW()-ROW($J$20)+1 &lt;=ROWS(Merge1[]),"","")</f>
        <v/>
      </c>
    </row>
    <row r="91" spans="10:10" x14ac:dyDescent="0.2">
      <c r="J91" t="str">
        <f>IF(ROW()-ROW($J$20)+1 &lt;=ROWS(Merge1[]),"","")</f>
        <v/>
      </c>
    </row>
    <row r="92" spans="10:10" x14ac:dyDescent="0.2">
      <c r="J92" t="str">
        <f>IF(ROW()-ROW($J$20)+1 &lt;=ROWS(Merge1[]),"","")</f>
        <v/>
      </c>
    </row>
    <row r="93" spans="10:10" x14ac:dyDescent="0.2">
      <c r="J93" t="str">
        <f>IF(ROW()-ROW($J$20)+1 &lt;=ROWS(Merge1[]),"","")</f>
        <v/>
      </c>
    </row>
    <row r="94" spans="10:10" x14ac:dyDescent="0.2">
      <c r="J94" t="str">
        <f>IF(ROW()-ROW($J$20)+1 &lt;=ROWS(Merge1[]),"","")</f>
        <v/>
      </c>
    </row>
    <row r="95" spans="10:10" x14ac:dyDescent="0.2">
      <c r="J95" t="str">
        <f>IF(ROW()-ROW($J$20)+1 &lt;=ROWS(Merge1[]),"","")</f>
        <v/>
      </c>
    </row>
    <row r="96" spans="10:10" x14ac:dyDescent="0.2">
      <c r="J96" t="str">
        <f>IF(ROW()-ROW($J$20)+1 &lt;=ROWS(Merge1[]),"","")</f>
        <v/>
      </c>
    </row>
    <row r="97" spans="10:10" x14ac:dyDescent="0.2">
      <c r="J97" t="str">
        <f>IF(ROW()-ROW($J$20)+1 &lt;=ROWS(Merge1[]),"","")</f>
        <v/>
      </c>
    </row>
    <row r="98" spans="10:10" x14ac:dyDescent="0.2">
      <c r="J98" t="str">
        <f>IF(ROW()-ROW($J$20)+1 &lt;=ROWS(Merge1[]),"","")</f>
        <v/>
      </c>
    </row>
    <row r="99" spans="10:10" x14ac:dyDescent="0.2">
      <c r="J99" t="str">
        <f>IF(ROW()-ROW($J$20)+1 &lt;=ROWS(Merge1[]),"","")</f>
        <v/>
      </c>
    </row>
    <row r="100" spans="10:10" x14ac:dyDescent="0.2">
      <c r="J100" t="str">
        <f>IF(ROW()-ROW($J$20)+1 &lt;=ROWS(Merge1[]),"","")</f>
        <v/>
      </c>
    </row>
    <row r="101" spans="10:10" x14ac:dyDescent="0.2">
      <c r="J101" t="str">
        <f>IF(ROW()-ROW($J$20)+1 &lt;=ROWS(Merge1[]),"","")</f>
        <v/>
      </c>
    </row>
    <row r="102" spans="10:10" x14ac:dyDescent="0.2">
      <c r="J102" t="str">
        <f>IF(ROW()-ROW($J$20)+1 &lt;=ROWS(Merge1[]),"","")</f>
        <v/>
      </c>
    </row>
    <row r="103" spans="10:10" x14ac:dyDescent="0.2">
      <c r="J103" t="str">
        <f>IF(ROW()-ROW($J$20)+1 &lt;=ROWS(Merge1[]),"","")</f>
        <v/>
      </c>
    </row>
    <row r="104" spans="10:10" x14ac:dyDescent="0.2">
      <c r="J104" t="str">
        <f>IF(ROW()-ROW($J$20)+1 &lt;=ROWS(Merge1[]),"","")</f>
        <v/>
      </c>
    </row>
    <row r="105" spans="10:10" x14ac:dyDescent="0.2">
      <c r="J105" t="str">
        <f>IF(ROW()-ROW($J$20)+1 &lt;=ROWS(Merge1[]),"","")</f>
        <v/>
      </c>
    </row>
    <row r="106" spans="10:10" x14ac:dyDescent="0.2">
      <c r="J106" t="str">
        <f>IF(ROW()-ROW($J$20)+1 &lt;=ROWS(Merge1[]),"","")</f>
        <v/>
      </c>
    </row>
    <row r="107" spans="10:10" x14ac:dyDescent="0.2">
      <c r="J107" t="str">
        <f>IF(ROW()-ROW($J$20)+1 &lt;=ROWS(Merge1[]),"","")</f>
        <v/>
      </c>
    </row>
    <row r="108" spans="10:10" x14ac:dyDescent="0.2">
      <c r="J108" t="str">
        <f>IF(ROW()-ROW($J$20)+1 &lt;=ROWS(Merge1[]),"","")</f>
        <v/>
      </c>
    </row>
    <row r="109" spans="10:10" x14ac:dyDescent="0.2">
      <c r="J109" t="str">
        <f>IF(ROW()-ROW($J$20)+1 &lt;=ROWS(Merge1[]),"","")</f>
        <v/>
      </c>
    </row>
    <row r="110" spans="10:10" x14ac:dyDescent="0.2">
      <c r="J110" t="str">
        <f>IF(ROW()-ROW($J$20)+1 &lt;=ROWS(Merge1[]),"","")</f>
        <v/>
      </c>
    </row>
    <row r="111" spans="10:10" x14ac:dyDescent="0.2">
      <c r="J111" t="str">
        <f>IF(ROW()-ROW($J$20)+1 &lt;=ROWS(Merge1[]),"","")</f>
        <v/>
      </c>
    </row>
    <row r="112" spans="10:10" x14ac:dyDescent="0.2">
      <c r="J112" t="str">
        <f>IF(ROW()-ROW($J$20)+1 &lt;=ROWS(Merge1[]),"","")</f>
        <v/>
      </c>
    </row>
    <row r="113" spans="10:10" x14ac:dyDescent="0.2">
      <c r="J113" t="str">
        <f>IF(ROW()-ROW($J$20)+1 &lt;=ROWS(Merge1[]),"","")</f>
        <v/>
      </c>
    </row>
    <row r="114" spans="10:10" x14ac:dyDescent="0.2">
      <c r="J114" t="str">
        <f>IF(ROW()-ROW($J$20)+1 &lt;=ROWS(Merge1[]),"","")</f>
        <v/>
      </c>
    </row>
    <row r="115" spans="10:10" x14ac:dyDescent="0.2">
      <c r="J115" t="str">
        <f>IF(ROW()-ROW($J$20)+1 &lt;=ROWS(Merge1[]),"","")</f>
        <v/>
      </c>
    </row>
    <row r="116" spans="10:10" x14ac:dyDescent="0.2">
      <c r="J116" t="str">
        <f>IF(ROW()-ROW($J$20)+1 &lt;=ROWS(Merge1[]),"","")</f>
        <v/>
      </c>
    </row>
    <row r="117" spans="10:10" x14ac:dyDescent="0.2">
      <c r="J117" t="str">
        <f>IF(ROW()-ROW($J$20)+1 &lt;=ROWS(Merge1[]),"","")</f>
        <v/>
      </c>
    </row>
    <row r="118" spans="10:10" x14ac:dyDescent="0.2">
      <c r="J118" t="str">
        <f>IF(ROW()-ROW($J$20)+1 &lt;=ROWS(Merge1[]),"","")</f>
        <v/>
      </c>
    </row>
    <row r="119" spans="10:10" x14ac:dyDescent="0.2">
      <c r="J119" t="str">
        <f>IF(ROW()-ROW($J$20)+1 &lt;=ROWS(Merge1[]),"","")</f>
        <v/>
      </c>
    </row>
    <row r="120" spans="10:10" x14ac:dyDescent="0.2">
      <c r="J120" t="str">
        <f>IF(ROW()-ROW($J$20)+1 &lt;=ROWS(Merge1[]),"","")</f>
        <v/>
      </c>
    </row>
    <row r="121" spans="10:10" x14ac:dyDescent="0.2">
      <c r="J121" t="str">
        <f>IF(ROW()-ROW($J$20)+1 &lt;=ROWS(Merge1[]),"","")</f>
        <v/>
      </c>
    </row>
    <row r="122" spans="10:10" x14ac:dyDescent="0.2">
      <c r="J122" t="str">
        <f>IF(ROW()-ROW($J$20)+1 &lt;=ROWS(Merge1[]),"","")</f>
        <v/>
      </c>
    </row>
    <row r="123" spans="10:10" x14ac:dyDescent="0.2">
      <c r="J123" t="str">
        <f>IF(ROW()-ROW($J$20)+1 &lt;=ROWS(Merge1[]),"","")</f>
        <v/>
      </c>
    </row>
    <row r="124" spans="10:10" x14ac:dyDescent="0.2">
      <c r="J124" t="str">
        <f>IF(ROW()-ROW($J$20)+1 &lt;=ROWS(Merge1[]),"","")</f>
        <v/>
      </c>
    </row>
    <row r="125" spans="10:10" x14ac:dyDescent="0.2">
      <c r="J125" t="str">
        <f>IF(ROW()-ROW($J$20)+1 &lt;=ROWS(Merge1[]),"","")</f>
        <v/>
      </c>
    </row>
    <row r="126" spans="10:10" x14ac:dyDescent="0.2">
      <c r="J126" t="str">
        <f>IF(ROW()-ROW($J$20)+1 &lt;=ROWS(Merge1[]),"","")</f>
        <v/>
      </c>
    </row>
    <row r="127" spans="10:10" x14ac:dyDescent="0.2">
      <c r="J127" t="str">
        <f>IF(ROW()-ROW($J$20)+1 &lt;=ROWS(Merge1[]),"","")</f>
        <v/>
      </c>
    </row>
    <row r="128" spans="10:10" x14ac:dyDescent="0.2">
      <c r="J128" t="str">
        <f>IF(ROW()-ROW($J$20)+1 &lt;=ROWS(Merge1[]),"","")</f>
        <v/>
      </c>
    </row>
    <row r="129" spans="10:10" x14ac:dyDescent="0.2">
      <c r="J129" t="str">
        <f>IF(ROW()-ROW($J$20)+1 &lt;=ROWS(Merge1[]),"","")</f>
        <v/>
      </c>
    </row>
    <row r="130" spans="10:10" x14ac:dyDescent="0.2">
      <c r="J130" t="str">
        <f>IF(ROW()-ROW($J$20)+1 &lt;=ROWS(Merge1[]),"","")</f>
        <v/>
      </c>
    </row>
    <row r="131" spans="10:10" x14ac:dyDescent="0.2">
      <c r="J131" t="str">
        <f>IF(ROW()-ROW($J$20)+1 &lt;=ROWS(Merge1[]),"","")</f>
        <v/>
      </c>
    </row>
    <row r="132" spans="10:10" x14ac:dyDescent="0.2">
      <c r="J132" t="str">
        <f>IF(ROW()-ROW($J$20)+1 &lt;=ROWS(Merge1[]),"","")</f>
        <v/>
      </c>
    </row>
    <row r="133" spans="10:10" x14ac:dyDescent="0.2">
      <c r="J133" t="str">
        <f>IF(ROW()-ROW($J$20)+1 &lt;=ROWS(Merge1[]),"","")</f>
        <v/>
      </c>
    </row>
    <row r="134" spans="10:10" x14ac:dyDescent="0.2">
      <c r="J134" t="str">
        <f>IF(ROW()-ROW($J$20)+1 &lt;=ROWS(Merge1[]),"","")</f>
        <v/>
      </c>
    </row>
    <row r="135" spans="10:10" x14ac:dyDescent="0.2">
      <c r="J135" t="str">
        <f>IF(ROW()-ROW($J$20)+1 &lt;=ROWS(Merge1[]),"","")</f>
        <v/>
      </c>
    </row>
    <row r="136" spans="10:10" x14ac:dyDescent="0.2">
      <c r="J136" t="str">
        <f>IF(ROW()-ROW($J$20)+1 &lt;=ROWS(Merge1[]),"","")</f>
        <v/>
      </c>
    </row>
    <row r="137" spans="10:10" x14ac:dyDescent="0.2">
      <c r="J137" t="str">
        <f>IF(ROW()-ROW($J$20)+1 &lt;=ROWS(Merge1[]),"","")</f>
        <v/>
      </c>
    </row>
    <row r="138" spans="10:10" x14ac:dyDescent="0.2">
      <c r="J138" t="str">
        <f>IF(ROW()-ROW($J$20)+1 &lt;=ROWS(Merge1[]),"","")</f>
        <v/>
      </c>
    </row>
    <row r="139" spans="10:10" x14ac:dyDescent="0.2">
      <c r="J139" t="str">
        <f>IF(ROW()-ROW($J$20)+1 &lt;=ROWS(Merge1[]),"","")</f>
        <v/>
      </c>
    </row>
    <row r="140" spans="10:10" x14ac:dyDescent="0.2">
      <c r="J140" t="str">
        <f>IF(ROW()-ROW($J$20)+1 &lt;=ROWS(Merge1[]),"","")</f>
        <v/>
      </c>
    </row>
    <row r="141" spans="10:10" x14ac:dyDescent="0.2">
      <c r="J141" t="str">
        <f>IF(ROW()-ROW($J$20)+1 &lt;=ROWS(Merge1[]),"","")</f>
        <v/>
      </c>
    </row>
    <row r="142" spans="10:10" x14ac:dyDescent="0.2">
      <c r="J142" t="str">
        <f>IF(ROW()-ROW($J$20)+1 &lt;=ROWS(Merge1[]),"","")</f>
        <v/>
      </c>
    </row>
    <row r="143" spans="10:10" x14ac:dyDescent="0.2">
      <c r="J143" t="str">
        <f>IF(ROW()-ROW($J$20)+1 &lt;=ROWS(Merge1[]),"","")</f>
        <v/>
      </c>
    </row>
    <row r="144" spans="10:10" x14ac:dyDescent="0.2">
      <c r="J144" t="str">
        <f>IF(ROW()-ROW($J$20)+1 &lt;=ROWS(Merge1[]),"","")</f>
        <v/>
      </c>
    </row>
    <row r="145" spans="10:10" x14ac:dyDescent="0.2">
      <c r="J145" t="str">
        <f>IF(ROW()-ROW($J$20)+1 &lt;=ROWS(Merge1[]),"","")</f>
        <v/>
      </c>
    </row>
    <row r="146" spans="10:10" x14ac:dyDescent="0.2">
      <c r="J146" t="str">
        <f>IF(ROW()-ROW($J$20)+1 &lt;=ROWS(Merge1[]),"","")</f>
        <v/>
      </c>
    </row>
    <row r="147" spans="10:10" x14ac:dyDescent="0.2">
      <c r="J147" t="str">
        <f>IF(ROW()-ROW($J$20)+1 &lt;=ROWS(Merge1[]),"","")</f>
        <v/>
      </c>
    </row>
    <row r="148" spans="10:10" x14ac:dyDescent="0.2">
      <c r="J148" t="str">
        <f>IF(ROW()-ROW($J$20)+1 &lt;=ROWS(Merge1[]),"","")</f>
        <v/>
      </c>
    </row>
    <row r="149" spans="10:10" x14ac:dyDescent="0.2">
      <c r="J149" t="str">
        <f>IF(ROW()-ROW($J$20)+1 &lt;=ROWS(Merge1[]),"","")</f>
        <v/>
      </c>
    </row>
    <row r="150" spans="10:10" x14ac:dyDescent="0.2">
      <c r="J150" t="str">
        <f>IF(ROW()-ROW($J$20)+1 &lt;=ROWS(Merge1[]),"","")</f>
        <v/>
      </c>
    </row>
    <row r="151" spans="10:10" x14ac:dyDescent="0.2">
      <c r="J151" t="str">
        <f>IF(ROW()-ROW($J$20)+1 &lt;=ROWS(Merge1[]),"","")</f>
        <v/>
      </c>
    </row>
    <row r="152" spans="10:10" x14ac:dyDescent="0.2">
      <c r="J152" t="str">
        <f>IF(ROW()-ROW($J$20)+1 &lt;=ROWS(Merge1[]),"","")</f>
        <v/>
      </c>
    </row>
    <row r="153" spans="10:10" x14ac:dyDescent="0.2">
      <c r="J153" t="str">
        <f>IF(ROW()-ROW($J$20)+1 &lt;=ROWS(Merge1[]),"","")</f>
        <v/>
      </c>
    </row>
    <row r="154" spans="10:10" x14ac:dyDescent="0.2">
      <c r="J154" t="str">
        <f>IF(ROW()-ROW($J$20)+1 &lt;=ROWS(Merge1[]),"","")</f>
        <v/>
      </c>
    </row>
    <row r="155" spans="10:10" x14ac:dyDescent="0.2">
      <c r="J155" t="str">
        <f>IF(ROW()-ROW($J$20)+1 &lt;=ROWS(Merge1[]),"","")</f>
        <v/>
      </c>
    </row>
    <row r="156" spans="10:10" x14ac:dyDescent="0.2">
      <c r="J156" t="str">
        <f>IF(ROW()-ROW($J$20)+1 &lt;=ROWS(Merge1[]),"","")</f>
        <v/>
      </c>
    </row>
    <row r="157" spans="10:10" x14ac:dyDescent="0.2">
      <c r="J157" t="str">
        <f>IF(ROW()-ROW($J$20)+1 &lt;=ROWS(Merge1[]),"","")</f>
        <v/>
      </c>
    </row>
    <row r="158" spans="10:10" x14ac:dyDescent="0.2">
      <c r="J158" t="str">
        <f>IF(ROW()-ROW($J$20)+1 &lt;=ROWS(Merge1[]),"","")</f>
        <v/>
      </c>
    </row>
    <row r="159" spans="10:10" x14ac:dyDescent="0.2">
      <c r="J159" t="str">
        <f>IF(ROW()-ROW($J$20)+1 &lt;=ROWS(Merge1[]),"","")</f>
        <v/>
      </c>
    </row>
    <row r="160" spans="10:10" x14ac:dyDescent="0.2">
      <c r="J160" t="str">
        <f>IF(ROW()-ROW($J$20)+1 &lt;=ROWS(Merge1[]),"","")</f>
        <v/>
      </c>
    </row>
    <row r="161" spans="10:10" x14ac:dyDescent="0.2">
      <c r="J161" t="str">
        <f>IF(ROW()-ROW($J$20)+1 &lt;=ROWS(Merge1[]),"","")</f>
        <v/>
      </c>
    </row>
    <row r="162" spans="10:10" x14ac:dyDescent="0.2">
      <c r="J162" t="str">
        <f>IF(ROW()-ROW($J$20)+1 &lt;=ROWS(Merge1[]),"","")</f>
        <v/>
      </c>
    </row>
    <row r="163" spans="10:10" x14ac:dyDescent="0.2">
      <c r="J163" t="str">
        <f>IF(ROW()-ROW($J$20)+1 &lt;=ROWS(Merge1[]),"","")</f>
        <v/>
      </c>
    </row>
    <row r="164" spans="10:10" x14ac:dyDescent="0.2">
      <c r="J164" t="str">
        <f>IF(ROW()-ROW($J$20)+1 &lt;=ROWS(Merge1[]),"","")</f>
        <v/>
      </c>
    </row>
    <row r="165" spans="10:10" x14ac:dyDescent="0.2">
      <c r="J165" t="str">
        <f>IF(ROW()-ROW($J$20)+1 &lt;=ROWS(Merge1[]),"","")</f>
        <v/>
      </c>
    </row>
    <row r="166" spans="10:10" x14ac:dyDescent="0.2">
      <c r="J166" t="str">
        <f>IF(ROW()-ROW($J$20)+1 &lt;=ROWS(Merge1[]),"","")</f>
        <v/>
      </c>
    </row>
    <row r="167" spans="10:10" x14ac:dyDescent="0.2">
      <c r="J167" t="str">
        <f>IF(ROW()-ROW($J$20)+1 &lt;=ROWS(Merge1[]),"","")</f>
        <v/>
      </c>
    </row>
    <row r="168" spans="10:10" x14ac:dyDescent="0.2">
      <c r="J168" t="str">
        <f>IF(ROW()-ROW($J$20)+1 &lt;=ROWS(Merge1[]),"","")</f>
        <v/>
      </c>
    </row>
    <row r="169" spans="10:10" x14ac:dyDescent="0.2">
      <c r="J169" t="str">
        <f>IF(ROW()-ROW($J$20)+1 &lt;=ROWS(Merge1[]),"","")</f>
        <v/>
      </c>
    </row>
    <row r="170" spans="10:10" x14ac:dyDescent="0.2">
      <c r="J170" t="str">
        <f>IF(ROW()-ROW($J$20)+1 &lt;=ROWS(Merge1[]),"","")</f>
        <v/>
      </c>
    </row>
    <row r="171" spans="10:10" x14ac:dyDescent="0.2">
      <c r="J171" t="str">
        <f>IF(ROW()-ROW($J$20)+1 &lt;=ROWS(Merge1[]),"","")</f>
        <v/>
      </c>
    </row>
    <row r="172" spans="10:10" x14ac:dyDescent="0.2">
      <c r="J172" t="str">
        <f>IF(ROW()-ROW($J$20)+1 &lt;=ROWS(Merge1[]),"","")</f>
        <v/>
      </c>
    </row>
    <row r="173" spans="10:10" x14ac:dyDescent="0.2">
      <c r="J173" t="str">
        <f>IF(ROW()-ROW($J$20)+1 &lt;=ROWS(Merge1[]),"","")</f>
        <v/>
      </c>
    </row>
    <row r="174" spans="10:10" x14ac:dyDescent="0.2">
      <c r="J174" t="str">
        <f>IF(ROW()-ROW($J$20)+1 &lt;=ROWS(Merge1[]),"","")</f>
        <v/>
      </c>
    </row>
    <row r="175" spans="10:10" x14ac:dyDescent="0.2">
      <c r="J175" t="str">
        <f>IF(ROW()-ROW($J$20)+1 &lt;=ROWS(Merge1[]),"","")</f>
        <v/>
      </c>
    </row>
    <row r="176" spans="10:10" x14ac:dyDescent="0.2">
      <c r="J176" t="str">
        <f>IF(ROW()-ROW($J$20)+1 &lt;=ROWS(Merge1[]),"","")</f>
        <v/>
      </c>
    </row>
    <row r="177" spans="10:10" x14ac:dyDescent="0.2">
      <c r="J177" t="str">
        <f>IF(ROW()-ROW($J$20)+1 &lt;=ROWS(Merge1[]),"","")</f>
        <v/>
      </c>
    </row>
    <row r="178" spans="10:10" x14ac:dyDescent="0.2">
      <c r="J178" t="str">
        <f>IF(ROW()-ROW($J$20)+1 &lt;=ROWS(Merge1[]),"","")</f>
        <v/>
      </c>
    </row>
    <row r="179" spans="10:10" x14ac:dyDescent="0.2">
      <c r="J179" t="str">
        <f>IF(ROW()-ROW($J$20)+1 &lt;=ROWS(Merge1[]),"","")</f>
        <v/>
      </c>
    </row>
    <row r="180" spans="10:10" x14ac:dyDescent="0.2">
      <c r="J180" t="str">
        <f>IF(ROW()-ROW($J$20)+1 &lt;=ROWS(Merge1[]),"","")</f>
        <v/>
      </c>
    </row>
    <row r="181" spans="10:10" x14ac:dyDescent="0.2">
      <c r="J181" t="str">
        <f>IF(ROW()-ROW($J$20)+1 &lt;=ROWS(Merge1[]),"","")</f>
        <v/>
      </c>
    </row>
    <row r="182" spans="10:10" x14ac:dyDescent="0.2">
      <c r="J182" t="str">
        <f>IF(ROW()-ROW($J$20)+1 &lt;=ROWS(Merge1[]),"","")</f>
        <v/>
      </c>
    </row>
    <row r="183" spans="10:10" x14ac:dyDescent="0.2">
      <c r="J183" t="str">
        <f>IF(ROW()-ROW($J$20)+1 &lt;=ROWS(Merge1[]),"","")</f>
        <v/>
      </c>
    </row>
    <row r="184" spans="10:10" x14ac:dyDescent="0.2">
      <c r="J184" t="str">
        <f>IF(ROW()-ROW($J$20)+1 &lt;=ROWS(Merge1[]),"","")</f>
        <v/>
      </c>
    </row>
    <row r="185" spans="10:10" x14ac:dyDescent="0.2">
      <c r="J185" t="str">
        <f>IF(ROW()-ROW($J$20)+1 &lt;=ROWS(Merge1[]),"","")</f>
        <v/>
      </c>
    </row>
    <row r="186" spans="10:10" x14ac:dyDescent="0.2">
      <c r="J186" t="str">
        <f>IF(ROW()-ROW($J$20)+1 &lt;=ROWS(Merge1[]),"","")</f>
        <v/>
      </c>
    </row>
    <row r="187" spans="10:10" x14ac:dyDescent="0.2">
      <c r="J187" t="str">
        <f>IF(ROW()-ROW($J$20)+1 &lt;=ROWS(Merge1[]),"","")</f>
        <v/>
      </c>
    </row>
    <row r="188" spans="10:10" x14ac:dyDescent="0.2">
      <c r="J188" t="str">
        <f>IF(ROW()-ROW($J$20)+1 &lt;=ROWS(Merge1[]),"","")</f>
        <v/>
      </c>
    </row>
    <row r="189" spans="10:10" x14ac:dyDescent="0.2">
      <c r="J189" t="str">
        <f>IF(ROW()-ROW($J$20)+1 &lt;=ROWS(Merge1[]),"","")</f>
        <v/>
      </c>
    </row>
    <row r="190" spans="10:10" x14ac:dyDescent="0.2">
      <c r="J190" t="str">
        <f>IF(ROW()-ROW($J$20)+1 &lt;=ROWS(Merge1[]),"","")</f>
        <v/>
      </c>
    </row>
    <row r="191" spans="10:10" x14ac:dyDescent="0.2">
      <c r="J191" t="str">
        <f>IF(ROW()-ROW($J$20)+1 &lt;=ROWS(Merge1[]),"","")</f>
        <v/>
      </c>
    </row>
    <row r="192" spans="10:10" x14ac:dyDescent="0.2">
      <c r="J192" t="str">
        <f>IF(ROW()-ROW($J$20)+1 &lt;=ROWS(Merge1[]),"","")</f>
        <v/>
      </c>
    </row>
    <row r="193" spans="10:10" x14ac:dyDescent="0.2">
      <c r="J193" t="str">
        <f>IF(ROW()-ROW($J$20)+1 &lt;=ROWS(Merge1[]),"","")</f>
        <v/>
      </c>
    </row>
    <row r="194" spans="10:10" x14ac:dyDescent="0.2">
      <c r="J194" t="str">
        <f>IF(ROW()-ROW($J$20)+1 &lt;=ROWS(Merge1[]),"","")</f>
        <v/>
      </c>
    </row>
    <row r="195" spans="10:10" x14ac:dyDescent="0.2">
      <c r="J195" t="str">
        <f>IF(ROW()-ROW($J$20)+1 &lt;=ROWS(Merge1[]),"","")</f>
        <v/>
      </c>
    </row>
    <row r="196" spans="10:10" x14ac:dyDescent="0.2">
      <c r="J196" t="str">
        <f>IF(ROW()-ROW($J$20)+1 &lt;=ROWS(Merge1[]),"","")</f>
        <v/>
      </c>
    </row>
    <row r="197" spans="10:10" x14ac:dyDescent="0.2">
      <c r="J197" t="str">
        <f>IF(ROW()-ROW($J$20)+1 &lt;=ROWS(Merge1[]),"","")</f>
        <v/>
      </c>
    </row>
    <row r="198" spans="10:10" x14ac:dyDescent="0.2">
      <c r="J198" t="str">
        <f>IF(ROW()-ROW($J$20)+1 &lt;=ROWS(Merge1[]),"","")</f>
        <v/>
      </c>
    </row>
    <row r="199" spans="10:10" x14ac:dyDescent="0.2">
      <c r="J199" t="str">
        <f>IF(ROW()-ROW($J$20)+1 &lt;=ROWS(Merge1[]),"","")</f>
        <v/>
      </c>
    </row>
    <row r="200" spans="10:10" x14ac:dyDescent="0.2">
      <c r="J200" t="str">
        <f>IF(ROW()-ROW($J$20)+1 &lt;=ROWS(Merge1[]),"","")</f>
        <v/>
      </c>
    </row>
    <row r="201" spans="10:10" x14ac:dyDescent="0.2">
      <c r="J201" t="str">
        <f>IF(ROW()-ROW($J$20)+1 &lt;=ROWS(Merge1[]),"","")</f>
        <v/>
      </c>
    </row>
    <row r="202" spans="10:10" x14ac:dyDescent="0.2">
      <c r="J202" t="str">
        <f>IF(ROW()-ROW($J$20)+1 &lt;=ROWS(Merge1[]),"","")</f>
        <v/>
      </c>
    </row>
    <row r="203" spans="10:10" x14ac:dyDescent="0.2">
      <c r="J203" t="str">
        <f>IF(ROW()-ROW($J$20)+1 &lt;=ROWS(Merge1[]),"","")</f>
        <v/>
      </c>
    </row>
    <row r="204" spans="10:10" x14ac:dyDescent="0.2">
      <c r="J204" t="str">
        <f>IF(ROW()-ROW($J$20)+1 &lt;=ROWS(Merge1[]),"","")</f>
        <v/>
      </c>
    </row>
    <row r="205" spans="10:10" x14ac:dyDescent="0.2">
      <c r="J205" t="str">
        <f>IF(ROW()-ROW($J$20)+1 &lt;=ROWS(Merge1[]),"","")</f>
        <v/>
      </c>
    </row>
    <row r="206" spans="10:10" x14ac:dyDescent="0.2">
      <c r="J206" t="str">
        <f>IF(ROW()-ROW($J$20)+1 &lt;=ROWS(Merge1[]),"","")</f>
        <v/>
      </c>
    </row>
    <row r="207" spans="10:10" x14ac:dyDescent="0.2">
      <c r="J207" t="str">
        <f>IF(ROW()-ROW($J$20)+1 &lt;=ROWS(Merge1[]),"","")</f>
        <v/>
      </c>
    </row>
    <row r="208" spans="10:10" x14ac:dyDescent="0.2">
      <c r="J208" t="str">
        <f>IF(ROW()-ROW($J$20)+1 &lt;=ROWS(Merge1[]),"","")</f>
        <v/>
      </c>
    </row>
    <row r="209" spans="10:10" x14ac:dyDescent="0.2">
      <c r="J209" t="str">
        <f>IF(ROW()-ROW($J$20)+1 &lt;=ROWS(Merge1[]),"","")</f>
        <v/>
      </c>
    </row>
    <row r="210" spans="10:10" x14ac:dyDescent="0.2">
      <c r="J210" t="str">
        <f>IF(ROW()-ROW($J$20)+1 &lt;=ROWS(Merge1[]),"","")</f>
        <v/>
      </c>
    </row>
    <row r="211" spans="10:10" x14ac:dyDescent="0.2">
      <c r="J211" t="str">
        <f>IF(ROW()-ROW($J$20)+1 &lt;=ROWS(Merge1[]),"","")</f>
        <v/>
      </c>
    </row>
    <row r="212" spans="10:10" x14ac:dyDescent="0.2">
      <c r="J212" t="str">
        <f>IF(ROW()-ROW($J$20)+1 &lt;=ROWS(Merge1[]),"","")</f>
        <v/>
      </c>
    </row>
    <row r="213" spans="10:10" x14ac:dyDescent="0.2">
      <c r="J213" t="str">
        <f>IF(ROW()-ROW($J$20)+1 &lt;=ROWS(Merge1[]),"","")</f>
        <v/>
      </c>
    </row>
    <row r="214" spans="10:10" x14ac:dyDescent="0.2">
      <c r="J214" t="str">
        <f>IF(ROW()-ROW($J$20)+1 &lt;=ROWS(Merge1[]),"","")</f>
        <v/>
      </c>
    </row>
    <row r="215" spans="10:10" x14ac:dyDescent="0.2">
      <c r="J215" t="str">
        <f>IF(ROW()-ROW($J$20)+1 &lt;=ROWS(Merge1[]),"","")</f>
        <v/>
      </c>
    </row>
    <row r="216" spans="10:10" x14ac:dyDescent="0.2">
      <c r="J216" t="str">
        <f>IF(ROW()-ROW($J$20)+1 &lt;=ROWS(Merge1[]),"","")</f>
        <v/>
      </c>
    </row>
    <row r="217" spans="10:10" x14ac:dyDescent="0.2">
      <c r="J217" t="str">
        <f>IF(ROW()-ROW($J$20)+1 &lt;=ROWS(Merge1[]),"","")</f>
        <v/>
      </c>
    </row>
    <row r="218" spans="10:10" x14ac:dyDescent="0.2">
      <c r="J218" t="str">
        <f>IF(ROW()-ROW($J$20)+1 &lt;=ROWS(Merge1[]),"","")</f>
        <v/>
      </c>
    </row>
    <row r="219" spans="10:10" x14ac:dyDescent="0.2">
      <c r="J219" t="str">
        <f>IF(ROW()-ROW($J$20)+1 &lt;=ROWS(Merge1[]),"","")</f>
        <v/>
      </c>
    </row>
    <row r="220" spans="10:10" x14ac:dyDescent="0.2">
      <c r="J220" t="str">
        <f>IF(ROW()-ROW($J$20)+1 &lt;=ROWS(Merge1[]),"","")</f>
        <v/>
      </c>
    </row>
    <row r="221" spans="10:10" x14ac:dyDescent="0.2">
      <c r="J221" t="str">
        <f>IF(ROW()-ROW($J$20)+1 &lt;=ROWS(Merge1[]),"","")</f>
        <v/>
      </c>
    </row>
    <row r="222" spans="10:10" x14ac:dyDescent="0.2">
      <c r="J222" t="str">
        <f>IF(ROW()-ROW($J$20)+1 &lt;=ROWS(Merge1[]),"","")</f>
        <v/>
      </c>
    </row>
    <row r="223" spans="10:10" x14ac:dyDescent="0.2">
      <c r="J223" t="str">
        <f>IF(ROW()-ROW($J$20)+1 &lt;=ROWS(Merge1[]),"","")</f>
        <v/>
      </c>
    </row>
    <row r="224" spans="10:10" x14ac:dyDescent="0.2">
      <c r="J224" t="str">
        <f>IF(ROW()-ROW($J$20)+1 &lt;=ROWS(Merge1[]),"","")</f>
        <v/>
      </c>
    </row>
    <row r="225" spans="10:10" x14ac:dyDescent="0.2">
      <c r="J225" t="str">
        <f>IF(ROW()-ROW($J$20)+1 &lt;=ROWS(Merge1[]),"","")</f>
        <v/>
      </c>
    </row>
    <row r="226" spans="10:10" x14ac:dyDescent="0.2">
      <c r="J226" t="str">
        <f>IF(ROW()-ROW($J$20)+1 &lt;=ROWS(Merge1[]),"","")</f>
        <v/>
      </c>
    </row>
    <row r="227" spans="10:10" x14ac:dyDescent="0.2">
      <c r="J227" t="str">
        <f>IF(ROW()-ROW($J$20)+1 &lt;=ROWS(Merge1[]),"","")</f>
        <v/>
      </c>
    </row>
    <row r="228" spans="10:10" x14ac:dyDescent="0.2">
      <c r="J228" t="str">
        <f>IF(ROW()-ROW($J$20)+1 &lt;=ROWS(Merge1[]),"","")</f>
        <v/>
      </c>
    </row>
    <row r="229" spans="10:10" x14ac:dyDescent="0.2">
      <c r="J229" t="str">
        <f>IF(ROW()-ROW($J$20)+1 &lt;=ROWS(Merge1[]),"","")</f>
        <v/>
      </c>
    </row>
    <row r="230" spans="10:10" x14ac:dyDescent="0.2">
      <c r="J230" t="str">
        <f>IF(ROW()-ROW($J$20)+1 &lt;=ROWS(Merge1[]),"","")</f>
        <v/>
      </c>
    </row>
    <row r="231" spans="10:10" x14ac:dyDescent="0.2">
      <c r="J231" t="str">
        <f>IF(ROW()-ROW($J$20)+1 &lt;=ROWS(Merge1[]),"","")</f>
        <v/>
      </c>
    </row>
    <row r="232" spans="10:10" x14ac:dyDescent="0.2">
      <c r="J232" t="str">
        <f>IF(ROW()-ROW($J$20)+1 &lt;=ROWS(Merge1[]),"","")</f>
        <v/>
      </c>
    </row>
    <row r="233" spans="10:10" x14ac:dyDescent="0.2">
      <c r="J233" t="str">
        <f>IF(ROW()-ROW($J$20)+1 &lt;=ROWS(Merge1[]),"","")</f>
        <v/>
      </c>
    </row>
    <row r="234" spans="10:10" x14ac:dyDescent="0.2">
      <c r="J234" t="str">
        <f>IF(ROW()-ROW($J$20)+1 &lt;=ROWS(Merge1[]),"","")</f>
        <v/>
      </c>
    </row>
    <row r="235" spans="10:10" x14ac:dyDescent="0.2">
      <c r="J235" t="str">
        <f>IF(ROW()-ROW($J$20)+1 &lt;=ROWS(Merge1[]),"","")</f>
        <v/>
      </c>
    </row>
    <row r="236" spans="10:10" x14ac:dyDescent="0.2">
      <c r="J236" t="str">
        <f>IF(ROW()-ROW($J$20)+1 &lt;=ROWS(Merge1[]),"","")</f>
        <v/>
      </c>
    </row>
    <row r="237" spans="10:10" x14ac:dyDescent="0.2">
      <c r="J237" t="str">
        <f>IF(ROW()-ROW($J$20)+1 &lt;=ROWS(Merge1[]),"","")</f>
        <v/>
      </c>
    </row>
    <row r="238" spans="10:10" x14ac:dyDescent="0.2">
      <c r="J238" t="str">
        <f>IF(ROW()-ROW($J$20)+1 &lt;=ROWS(Merge1[]),"","")</f>
        <v/>
      </c>
    </row>
    <row r="239" spans="10:10" x14ac:dyDescent="0.2">
      <c r="J239" t="str">
        <f>IF(ROW()-ROW($J$20)+1 &lt;=ROWS(Merge1[]),"","")</f>
        <v/>
      </c>
    </row>
    <row r="240" spans="10:10" x14ac:dyDescent="0.2">
      <c r="J240" t="str">
        <f>IF(ROW()-ROW($J$20)+1 &lt;=ROWS(Merge1[]),"","")</f>
        <v/>
      </c>
    </row>
    <row r="241" spans="10:10" x14ac:dyDescent="0.2">
      <c r="J241" t="str">
        <f>IF(ROW()-ROW($J$20)+1 &lt;=ROWS(Merge1[]),"","")</f>
        <v/>
      </c>
    </row>
    <row r="242" spans="10:10" x14ac:dyDescent="0.2">
      <c r="J242" t="str">
        <f>IF(ROW()-ROW($J$20)+1 &lt;=ROWS(Merge1[]),"","")</f>
        <v/>
      </c>
    </row>
    <row r="243" spans="10:10" x14ac:dyDescent="0.2">
      <c r="J243" t="str">
        <f>IF(ROW()-ROW($J$20)+1 &lt;=ROWS(Merge1[]),"","")</f>
        <v/>
      </c>
    </row>
    <row r="244" spans="10:10" x14ac:dyDescent="0.2">
      <c r="J244" t="str">
        <f>IF(ROW()-ROW($J$20)+1 &lt;=ROWS(Merge1[]),"","")</f>
        <v/>
      </c>
    </row>
    <row r="245" spans="10:10" x14ac:dyDescent="0.2">
      <c r="J245" t="str">
        <f>IF(ROW()-ROW($J$20)+1 &lt;=ROWS(Merge1[]),"","")</f>
        <v/>
      </c>
    </row>
    <row r="246" spans="10:10" x14ac:dyDescent="0.2">
      <c r="J246" t="str">
        <f>IF(ROW()-ROW($J$20)+1 &lt;=ROWS(Merge1[]),"","")</f>
        <v/>
      </c>
    </row>
    <row r="247" spans="10:10" x14ac:dyDescent="0.2">
      <c r="J247" t="str">
        <f>IF(ROW()-ROW($J$20)+1 &lt;=ROWS(Merge1[]),"","")</f>
        <v/>
      </c>
    </row>
    <row r="248" spans="10:10" x14ac:dyDescent="0.2">
      <c r="J248" t="str">
        <f>IF(ROW()-ROW($J$20)+1 &lt;=ROWS(Merge1[]),"","")</f>
        <v/>
      </c>
    </row>
    <row r="249" spans="10:10" x14ac:dyDescent="0.2">
      <c r="J249" t="str">
        <f>IF(ROW()-ROW($J$20)+1 &lt;=ROWS(Merge1[]),"","")</f>
        <v/>
      </c>
    </row>
    <row r="250" spans="10:10" x14ac:dyDescent="0.2">
      <c r="J250" t="str">
        <f>IF(ROW()-ROW($J$20)+1 &lt;=ROWS(Merge1[]),"","")</f>
        <v/>
      </c>
    </row>
    <row r="251" spans="10:10" x14ac:dyDescent="0.2">
      <c r="J251" t="str">
        <f>IF(ROW()-ROW($J$20)+1 &lt;=ROWS(Merge1[]),"","")</f>
        <v/>
      </c>
    </row>
    <row r="252" spans="10:10" x14ac:dyDescent="0.2">
      <c r="J252" t="str">
        <f>IF(ROW()-ROW($J$20)+1 &lt;=ROWS(Merge1[]),"","")</f>
        <v/>
      </c>
    </row>
    <row r="253" spans="10:10" x14ac:dyDescent="0.2">
      <c r="J253" t="str">
        <f>IF(ROW()-ROW($J$20)+1 &lt;=ROWS(Merge1[]),"","")</f>
        <v/>
      </c>
    </row>
    <row r="254" spans="10:10" x14ac:dyDescent="0.2">
      <c r="J254" t="str">
        <f>IF(ROW()-ROW($J$20)+1 &lt;=ROWS(Merge1[]),"","")</f>
        <v/>
      </c>
    </row>
    <row r="255" spans="10:10" x14ac:dyDescent="0.2">
      <c r="J255" t="str">
        <f>IF(ROW()-ROW($J$20)+1 &lt;=ROWS(Merge1[]),"","")</f>
        <v/>
      </c>
    </row>
    <row r="256" spans="10:10" x14ac:dyDescent="0.2">
      <c r="J256" t="str">
        <f>IF(ROW()-ROW($J$20)+1 &lt;=ROWS(Merge1[]),"","")</f>
        <v/>
      </c>
    </row>
    <row r="257" spans="10:10" x14ac:dyDescent="0.2">
      <c r="J257" t="str">
        <f>IF(ROW()-ROW($J$20)+1 &lt;=ROWS(Merge1[]),"","")</f>
        <v/>
      </c>
    </row>
    <row r="258" spans="10:10" x14ac:dyDescent="0.2">
      <c r="J258" t="str">
        <f>IF(ROW()-ROW($J$20)+1 &lt;=ROWS(Merge1[]),"","")</f>
        <v/>
      </c>
    </row>
    <row r="259" spans="10:10" x14ac:dyDescent="0.2">
      <c r="J259" t="str">
        <f>IF(ROW()-ROW($J$20)+1 &lt;=ROWS(Merge1[]),"","")</f>
        <v/>
      </c>
    </row>
    <row r="260" spans="10:10" x14ac:dyDescent="0.2">
      <c r="J260" t="str">
        <f>IF(ROW()-ROW($J$20)+1 &lt;=ROWS(Merge1[]),"","")</f>
        <v/>
      </c>
    </row>
    <row r="261" spans="10:10" x14ac:dyDescent="0.2">
      <c r="J261" t="str">
        <f>IF(ROW()-ROW($J$20)+1 &lt;=ROWS(Merge1[]),"","")</f>
        <v/>
      </c>
    </row>
    <row r="262" spans="10:10" x14ac:dyDescent="0.2">
      <c r="J262" t="str">
        <f>IF(ROW()-ROW($J$20)+1 &lt;=ROWS(Merge1[]),"","")</f>
        <v/>
      </c>
    </row>
    <row r="263" spans="10:10" x14ac:dyDescent="0.2">
      <c r="J263" t="str">
        <f>IF(ROW()-ROW($J$20)+1 &lt;=ROWS(Merge1[]),"","")</f>
        <v/>
      </c>
    </row>
    <row r="264" spans="10:10" x14ac:dyDescent="0.2">
      <c r="J264" t="str">
        <f>IF(ROW()-ROW($J$20)+1 &lt;=ROWS(Merge1[]),"","")</f>
        <v/>
      </c>
    </row>
    <row r="265" spans="10:10" x14ac:dyDescent="0.2">
      <c r="J265" t="str">
        <f>IF(ROW()-ROW($J$20)+1 &lt;=ROWS(Merge1[]),"","")</f>
        <v/>
      </c>
    </row>
    <row r="266" spans="10:10" x14ac:dyDescent="0.2">
      <c r="J266" t="str">
        <f>IF(ROW()-ROW($J$20)+1 &lt;=ROWS(Merge1[]),"","")</f>
        <v/>
      </c>
    </row>
    <row r="267" spans="10:10" x14ac:dyDescent="0.2">
      <c r="J267" t="str">
        <f>IF(ROW()-ROW($J$20)+1 &lt;=ROWS(Merge1[]),"","")</f>
        <v/>
      </c>
    </row>
    <row r="268" spans="10:10" x14ac:dyDescent="0.2">
      <c r="J268" t="str">
        <f>IF(ROW()-ROW($J$20)+1 &lt;=ROWS(Merge1[]),"","")</f>
        <v/>
      </c>
    </row>
    <row r="269" spans="10:10" x14ac:dyDescent="0.2">
      <c r="J269" t="str">
        <f>IF(ROW()-ROW($J$20)+1 &lt;=ROWS(Merge1[]),"","")</f>
        <v/>
      </c>
    </row>
    <row r="270" spans="10:10" x14ac:dyDescent="0.2">
      <c r="J270" t="str">
        <f>IF(ROW()-ROW($J$20)+1 &lt;=ROWS(Merge1[]),"","")</f>
        <v/>
      </c>
    </row>
    <row r="271" spans="10:10" x14ac:dyDescent="0.2">
      <c r="J271" t="str">
        <f>IF(ROW()-ROW($J$20)+1 &lt;=ROWS(Merge1[]),"","")</f>
        <v/>
      </c>
    </row>
    <row r="272" spans="10:10" x14ac:dyDescent="0.2">
      <c r="J272" t="str">
        <f>IF(ROW()-ROW($J$20)+1 &lt;=ROWS(Merge1[]),"","")</f>
        <v/>
      </c>
    </row>
    <row r="273" spans="10:10" x14ac:dyDescent="0.2">
      <c r="J273" t="str">
        <f>IF(ROW()-ROW($J$20)+1 &lt;=ROWS(Merge1[]),"","")</f>
        <v/>
      </c>
    </row>
    <row r="274" spans="10:10" x14ac:dyDescent="0.2">
      <c r="J274" t="str">
        <f>IF(ROW()-ROW($J$20)+1 &lt;=ROWS(Merge1[]),"","")</f>
        <v/>
      </c>
    </row>
    <row r="275" spans="10:10" x14ac:dyDescent="0.2">
      <c r="J275" t="str">
        <f>IF(ROW()-ROW($J$20)+1 &lt;=ROWS(Merge1[]),"","")</f>
        <v/>
      </c>
    </row>
    <row r="276" spans="10:10" x14ac:dyDescent="0.2">
      <c r="J276" t="str">
        <f>IF(ROW()-ROW($J$20)+1 &lt;=ROWS(Merge1[]),"","")</f>
        <v/>
      </c>
    </row>
    <row r="277" spans="10:10" x14ac:dyDescent="0.2">
      <c r="J277" t="str">
        <f>IF(ROW()-ROW($J$20)+1 &lt;=ROWS(Merge1[]),"","")</f>
        <v/>
      </c>
    </row>
    <row r="278" spans="10:10" x14ac:dyDescent="0.2">
      <c r="J278" t="str">
        <f>IF(ROW()-ROW($J$20)+1 &lt;=ROWS(Merge1[]),"","")</f>
        <v/>
      </c>
    </row>
    <row r="279" spans="10:10" x14ac:dyDescent="0.2">
      <c r="J279" t="str">
        <f>IF(ROW()-ROW($J$20)+1 &lt;=ROWS(Merge1[]),"","")</f>
        <v/>
      </c>
    </row>
    <row r="280" spans="10:10" x14ac:dyDescent="0.2">
      <c r="J280" t="str">
        <f>IF(ROW()-ROW($J$20)+1 &lt;=ROWS(Merge1[]),"","")</f>
        <v/>
      </c>
    </row>
    <row r="281" spans="10:10" x14ac:dyDescent="0.2">
      <c r="J281" t="str">
        <f>IF(ROW()-ROW($J$20)+1 &lt;=ROWS(Merge1[]),"","")</f>
        <v/>
      </c>
    </row>
    <row r="282" spans="10:10" x14ac:dyDescent="0.2">
      <c r="J282" t="str">
        <f>IF(ROW()-ROW($J$20)+1 &lt;=ROWS(Merge1[]),"","")</f>
        <v/>
      </c>
    </row>
    <row r="283" spans="10:10" x14ac:dyDescent="0.2">
      <c r="J283" t="str">
        <f>IF(ROW()-ROW($J$20)+1 &lt;=ROWS(Merge1[]),"","")</f>
        <v/>
      </c>
    </row>
    <row r="284" spans="10:10" x14ac:dyDescent="0.2">
      <c r="J284" t="str">
        <f>IF(ROW()-ROW($J$20)+1 &lt;=ROWS(Merge1[]),"","")</f>
        <v/>
      </c>
    </row>
    <row r="285" spans="10:10" x14ac:dyDescent="0.2">
      <c r="J285" t="str">
        <f>IF(ROW()-ROW($J$20)+1 &lt;=ROWS(Merge1[]),"","")</f>
        <v/>
      </c>
    </row>
    <row r="286" spans="10:10" x14ac:dyDescent="0.2">
      <c r="J286" t="str">
        <f>IF(ROW()-ROW($J$20)+1 &lt;=ROWS(Merge1[]),"","")</f>
        <v/>
      </c>
    </row>
    <row r="287" spans="10:10" x14ac:dyDescent="0.2">
      <c r="J287" t="str">
        <f>IF(ROW()-ROW($J$20)+1 &lt;=ROWS(Merge1[]),"","")</f>
        <v/>
      </c>
    </row>
    <row r="288" spans="10:10" x14ac:dyDescent="0.2">
      <c r="J288" t="str">
        <f>IF(ROW()-ROW($J$20)+1 &lt;=ROWS(Merge1[]),"","")</f>
        <v/>
      </c>
    </row>
    <row r="289" spans="10:10" x14ac:dyDescent="0.2">
      <c r="J289" t="str">
        <f>IF(ROW()-ROW($J$20)+1 &lt;=ROWS(Merge1[]),"","")</f>
        <v/>
      </c>
    </row>
    <row r="290" spans="10:10" x14ac:dyDescent="0.2">
      <c r="J290" t="str">
        <f>IF(ROW()-ROW($J$20)+1 &lt;=ROWS(Merge1[]),"","")</f>
        <v/>
      </c>
    </row>
    <row r="291" spans="10:10" x14ac:dyDescent="0.2">
      <c r="J291" t="str">
        <f>IF(ROW()-ROW($J$20)+1 &lt;=ROWS(Merge1[]),"","")</f>
        <v/>
      </c>
    </row>
    <row r="292" spans="10:10" x14ac:dyDescent="0.2">
      <c r="J292" t="str">
        <f>IF(ROW()-ROW($J$20)+1 &lt;=ROWS(Merge1[]),"","")</f>
        <v/>
      </c>
    </row>
    <row r="293" spans="10:10" x14ac:dyDescent="0.2">
      <c r="J293" t="str">
        <f>IF(ROW()-ROW($J$20)+1 &lt;=ROWS(Merge1[]),"","")</f>
        <v/>
      </c>
    </row>
    <row r="294" spans="10:10" x14ac:dyDescent="0.2">
      <c r="J294" t="str">
        <f>IF(ROW()-ROW($J$20)+1 &lt;=ROWS(Merge1[]),"","")</f>
        <v/>
      </c>
    </row>
    <row r="295" spans="10:10" x14ac:dyDescent="0.2">
      <c r="J295" t="str">
        <f>IF(ROW()-ROW($J$20)+1 &lt;=ROWS(Merge1[]),"","")</f>
        <v/>
      </c>
    </row>
    <row r="296" spans="10:10" x14ac:dyDescent="0.2">
      <c r="J296" t="str">
        <f>IF(ROW()-ROW($J$20)+1 &lt;=ROWS(Merge1[]),"","")</f>
        <v/>
      </c>
    </row>
    <row r="297" spans="10:10" x14ac:dyDescent="0.2">
      <c r="J297" t="str">
        <f>IF(ROW()-ROW($J$20)+1 &lt;=ROWS(Merge1[]),"","")</f>
        <v/>
      </c>
    </row>
    <row r="298" spans="10:10" x14ac:dyDescent="0.2">
      <c r="J298" t="str">
        <f>IF(ROW()-ROW($J$20)+1 &lt;=ROWS(Merge1[]),"","")</f>
        <v/>
      </c>
    </row>
    <row r="299" spans="10:10" x14ac:dyDescent="0.2">
      <c r="J299" t="str">
        <f>IF(ROW()-ROW($J$20)+1 &lt;=ROWS(Merge1[]),"","")</f>
        <v/>
      </c>
    </row>
    <row r="300" spans="10:10" x14ac:dyDescent="0.2">
      <c r="J300" t="str">
        <f>IF(ROW()-ROW($J$20)+1 &lt;=ROWS(Merge1[]),"","")</f>
        <v/>
      </c>
    </row>
    <row r="301" spans="10:10" x14ac:dyDescent="0.2">
      <c r="J301" t="str">
        <f>IF(ROW()-ROW($J$20)+1 &lt;=ROWS(Merge1[]),"","")</f>
        <v/>
      </c>
    </row>
    <row r="302" spans="10:10" x14ac:dyDescent="0.2">
      <c r="J302" t="str">
        <f>IF(ROW()-ROW($J$20)+1 &lt;=ROWS(Merge1[]),"","")</f>
        <v/>
      </c>
    </row>
    <row r="303" spans="10:10" x14ac:dyDescent="0.2">
      <c r="J303" t="str">
        <f>IF(ROW()-ROW($J$20)+1 &lt;=ROWS(Merge1[]),"","")</f>
        <v/>
      </c>
    </row>
    <row r="304" spans="10:10" x14ac:dyDescent="0.2">
      <c r="J304" t="str">
        <f>IF(ROW()-ROW($J$20)+1 &lt;=ROWS(Merge1[]),"","")</f>
        <v/>
      </c>
    </row>
    <row r="305" spans="10:10" x14ac:dyDescent="0.2">
      <c r="J305" t="str">
        <f>IF(ROW()-ROW($J$20)+1 &lt;=ROWS(Merge1[]),"","")</f>
        <v/>
      </c>
    </row>
    <row r="306" spans="10:10" x14ac:dyDescent="0.2">
      <c r="J306" t="str">
        <f>IF(ROW()-ROW($J$20)+1 &lt;=ROWS(Merge1[]),"","")</f>
        <v/>
      </c>
    </row>
    <row r="307" spans="10:10" x14ac:dyDescent="0.2">
      <c r="J307" t="str">
        <f>IF(ROW()-ROW($J$20)+1 &lt;=ROWS(Merge1[]),"","")</f>
        <v/>
      </c>
    </row>
    <row r="308" spans="10:10" x14ac:dyDescent="0.2">
      <c r="J308" t="str">
        <f>IF(ROW()-ROW($J$20)+1 &lt;=ROWS(Merge1[]),"","")</f>
        <v/>
      </c>
    </row>
    <row r="309" spans="10:10" x14ac:dyDescent="0.2">
      <c r="J309" t="str">
        <f>IF(ROW()-ROW($J$20)+1 &lt;=ROWS(Merge1[]),"","")</f>
        <v/>
      </c>
    </row>
    <row r="310" spans="10:10" x14ac:dyDescent="0.2">
      <c r="J310" t="str">
        <f>IF(ROW()-ROW($J$20)+1 &lt;=ROWS(Merge1[]),"","")</f>
        <v/>
      </c>
    </row>
    <row r="311" spans="10:10" x14ac:dyDescent="0.2">
      <c r="J311" t="str">
        <f>IF(ROW()-ROW($J$20)+1 &lt;=ROWS(Merge1[]),"","")</f>
        <v/>
      </c>
    </row>
    <row r="312" spans="10:10" x14ac:dyDescent="0.2">
      <c r="J312" t="str">
        <f>IF(ROW()-ROW($J$20)+1 &lt;=ROWS(Merge1[]),"","")</f>
        <v/>
      </c>
    </row>
    <row r="313" spans="10:10" x14ac:dyDescent="0.2">
      <c r="J313" t="str">
        <f>IF(ROW()-ROW($J$20)+1 &lt;=ROWS(Merge1[]),"","")</f>
        <v/>
      </c>
    </row>
    <row r="314" spans="10:10" x14ac:dyDescent="0.2">
      <c r="J314" t="str">
        <f>IF(ROW()-ROW($J$20)+1 &lt;=ROWS(Merge1[]),"","")</f>
        <v/>
      </c>
    </row>
    <row r="315" spans="10:10" x14ac:dyDescent="0.2">
      <c r="J315" t="str">
        <f>IF(ROW()-ROW($J$20)+1 &lt;=ROWS(Merge1[]),"","")</f>
        <v/>
      </c>
    </row>
    <row r="316" spans="10:10" x14ac:dyDescent="0.2">
      <c r="J316" t="str">
        <f>IF(ROW()-ROW($J$20)+1 &lt;=ROWS(Merge1[]),"","")</f>
        <v/>
      </c>
    </row>
    <row r="317" spans="10:10" x14ac:dyDescent="0.2">
      <c r="J317" t="str">
        <f>IF(ROW()-ROW($J$20)+1 &lt;=ROWS(Merge1[]),"","")</f>
        <v/>
      </c>
    </row>
    <row r="318" spans="10:10" x14ac:dyDescent="0.2">
      <c r="J318" t="str">
        <f>IF(ROW()-ROW($J$20)+1 &lt;=ROWS(Merge1[]),"","")</f>
        <v/>
      </c>
    </row>
    <row r="319" spans="10:10" x14ac:dyDescent="0.2">
      <c r="J319" t="str">
        <f>IF(ROW()-ROW($J$20)+1 &lt;=ROWS(Merge1[]),"","")</f>
        <v/>
      </c>
    </row>
    <row r="320" spans="10:10" x14ac:dyDescent="0.2">
      <c r="J320" t="str">
        <f>IF(ROW()-ROW($J$20)+1 &lt;=ROWS(Merge1[]),"","")</f>
        <v/>
      </c>
    </row>
    <row r="321" spans="10:10" x14ac:dyDescent="0.2">
      <c r="J321" t="str">
        <f>IF(ROW()-ROW($J$20)+1 &lt;=ROWS(Merge1[]),"","")</f>
        <v/>
      </c>
    </row>
    <row r="322" spans="10:10" x14ac:dyDescent="0.2">
      <c r="J322" t="str">
        <f>IF(ROW()-ROW($J$20)+1 &lt;=ROWS(Merge1[]),"","")</f>
        <v/>
      </c>
    </row>
    <row r="323" spans="10:10" x14ac:dyDescent="0.2">
      <c r="J323" t="str">
        <f>IF(ROW()-ROW($J$20)+1 &lt;=ROWS(Merge1[]),"","")</f>
        <v/>
      </c>
    </row>
    <row r="324" spans="10:10" x14ac:dyDescent="0.2">
      <c r="J324" t="str">
        <f>IF(ROW()-ROW($J$20)+1 &lt;=ROWS(Merge1[]),"","")</f>
        <v/>
      </c>
    </row>
    <row r="325" spans="10:10" x14ac:dyDescent="0.2">
      <c r="J325" t="str">
        <f>IF(ROW()-ROW($J$20)+1 &lt;=ROWS(Merge1[]),"","")</f>
        <v/>
      </c>
    </row>
    <row r="326" spans="10:10" x14ac:dyDescent="0.2">
      <c r="J326" t="str">
        <f>IF(ROW()-ROW($J$20)+1 &lt;=ROWS(Merge1[]),"","")</f>
        <v/>
      </c>
    </row>
    <row r="327" spans="10:10" x14ac:dyDescent="0.2">
      <c r="J327" t="str">
        <f>IF(ROW()-ROW($J$20)+1 &lt;=ROWS(Merge1[]),"","")</f>
        <v/>
      </c>
    </row>
    <row r="328" spans="10:10" x14ac:dyDescent="0.2">
      <c r="J328" t="str">
        <f>IF(ROW()-ROW($J$20)+1 &lt;=ROWS(Merge1[]),"","")</f>
        <v/>
      </c>
    </row>
    <row r="329" spans="10:10" x14ac:dyDescent="0.2">
      <c r="J329" t="str">
        <f>IF(ROW()-ROW($J$20)+1 &lt;=ROWS(Merge1[]),"","")</f>
        <v/>
      </c>
    </row>
    <row r="330" spans="10:10" x14ac:dyDescent="0.2">
      <c r="J330" t="str">
        <f>IF(ROW()-ROW($J$20)+1 &lt;=ROWS(Merge1[]),"","")</f>
        <v/>
      </c>
    </row>
    <row r="331" spans="10:10" x14ac:dyDescent="0.2">
      <c r="J331" t="str">
        <f>IF(ROW()-ROW($J$20)+1 &lt;=ROWS(Merge1[]),"","")</f>
        <v/>
      </c>
    </row>
    <row r="332" spans="10:10" x14ac:dyDescent="0.2">
      <c r="J332" t="str">
        <f>IF(ROW()-ROW($J$20)+1 &lt;=ROWS(Merge1[]),"","")</f>
        <v/>
      </c>
    </row>
    <row r="333" spans="10:10" x14ac:dyDescent="0.2">
      <c r="J333" t="str">
        <f>IF(ROW()-ROW($J$20)+1 &lt;=ROWS(Merge1[]),"","")</f>
        <v/>
      </c>
    </row>
    <row r="334" spans="10:10" x14ac:dyDescent="0.2">
      <c r="J334" t="str">
        <f>IF(ROW()-ROW($J$20)+1 &lt;=ROWS(Merge1[]),"","")</f>
        <v/>
      </c>
    </row>
    <row r="335" spans="10:10" x14ac:dyDescent="0.2">
      <c r="J335" t="str">
        <f>IF(ROW()-ROW($J$20)+1 &lt;=ROWS(Merge1[]),"","")</f>
        <v/>
      </c>
    </row>
    <row r="336" spans="10:10" x14ac:dyDescent="0.2">
      <c r="J336" t="str">
        <f>IF(ROW()-ROW($J$20)+1 &lt;=ROWS(Merge1[]),"","")</f>
        <v/>
      </c>
    </row>
    <row r="337" spans="10:10" x14ac:dyDescent="0.2">
      <c r="J337" t="str">
        <f>IF(ROW()-ROW($J$20)+1 &lt;=ROWS(Merge1[]),"","")</f>
        <v/>
      </c>
    </row>
    <row r="338" spans="10:10" x14ac:dyDescent="0.2">
      <c r="J338" t="str">
        <f>IF(ROW()-ROW($J$20)+1 &lt;=ROWS(Merge1[]),"","")</f>
        <v/>
      </c>
    </row>
    <row r="339" spans="10:10" x14ac:dyDescent="0.2">
      <c r="J339" t="str">
        <f>IF(ROW()-ROW($J$20)+1 &lt;=ROWS(Merge1[]),"","")</f>
        <v/>
      </c>
    </row>
    <row r="340" spans="10:10" x14ac:dyDescent="0.2">
      <c r="J340" t="str">
        <f>IF(ROW()-ROW($J$20)+1 &lt;=ROWS(Merge1[]),"","")</f>
        <v/>
      </c>
    </row>
    <row r="341" spans="10:10" x14ac:dyDescent="0.2">
      <c r="J341" t="str">
        <f>IF(ROW()-ROW($J$20)+1 &lt;=ROWS(Merge1[]),"","")</f>
        <v/>
      </c>
    </row>
    <row r="342" spans="10:10" x14ac:dyDescent="0.2">
      <c r="J342" t="str">
        <f>IF(ROW()-ROW($J$20)+1 &lt;=ROWS(Merge1[]),"","")</f>
        <v/>
      </c>
    </row>
    <row r="343" spans="10:10" x14ac:dyDescent="0.2">
      <c r="J343" t="str">
        <f>IF(ROW()-ROW($J$20)+1 &lt;=ROWS(Merge1[]),"","")</f>
        <v/>
      </c>
    </row>
    <row r="344" spans="10:10" x14ac:dyDescent="0.2">
      <c r="J344" t="str">
        <f>IF(ROW()-ROW($J$20)+1 &lt;=ROWS(Merge1[]),"","")</f>
        <v/>
      </c>
    </row>
    <row r="345" spans="10:10" x14ac:dyDescent="0.2">
      <c r="J345" t="str">
        <f>IF(ROW()-ROW($J$20)+1 &lt;=ROWS(Merge1[]),"","")</f>
        <v/>
      </c>
    </row>
    <row r="346" spans="10:10" x14ac:dyDescent="0.2">
      <c r="J346" t="str">
        <f>IF(ROW()-ROW($J$20)+1 &lt;=ROWS(Merge1[]),"","")</f>
        <v/>
      </c>
    </row>
    <row r="347" spans="10:10" x14ac:dyDescent="0.2">
      <c r="J347" t="str">
        <f>IF(ROW()-ROW($J$20)+1 &lt;=ROWS(Merge1[]),"","")</f>
        <v/>
      </c>
    </row>
    <row r="348" spans="10:10" x14ac:dyDescent="0.2">
      <c r="J348" t="str">
        <f>IF(ROW()-ROW($J$20)+1 &lt;=ROWS(Merge1[]),"","")</f>
        <v/>
      </c>
    </row>
    <row r="349" spans="10:10" x14ac:dyDescent="0.2">
      <c r="J349" t="str">
        <f>IF(ROW()-ROW($J$20)+1 &lt;=ROWS(Merge1[]),"","")</f>
        <v/>
      </c>
    </row>
    <row r="350" spans="10:10" x14ac:dyDescent="0.2">
      <c r="J350" t="str">
        <f>IF(ROW()-ROW($J$20)+1 &lt;=ROWS(Merge1[]),"","")</f>
        <v/>
      </c>
    </row>
    <row r="351" spans="10:10" x14ac:dyDescent="0.2">
      <c r="J351" t="str">
        <f>IF(ROW()-ROW($J$20)+1 &lt;=ROWS(Merge1[]),"","")</f>
        <v/>
      </c>
    </row>
    <row r="352" spans="10:10" x14ac:dyDescent="0.2">
      <c r="J352" t="str">
        <f>IF(ROW()-ROW($J$20)+1 &lt;=ROWS(Merge1[]),"","")</f>
        <v/>
      </c>
    </row>
    <row r="353" spans="10:10" x14ac:dyDescent="0.2">
      <c r="J353" t="str">
        <f>IF(ROW()-ROW($J$20)+1 &lt;=ROWS(Merge1[]),"","")</f>
        <v/>
      </c>
    </row>
    <row r="354" spans="10:10" x14ac:dyDescent="0.2">
      <c r="J354" t="str">
        <f>IF(ROW()-ROW($J$20)+1 &lt;=ROWS(Merge1[]),"","")</f>
        <v/>
      </c>
    </row>
    <row r="355" spans="10:10" x14ac:dyDescent="0.2">
      <c r="J355" t="str">
        <f>IF(ROW()-ROW($J$20)+1 &lt;=ROWS(Merge1[]),"","")</f>
        <v/>
      </c>
    </row>
    <row r="356" spans="10:10" x14ac:dyDescent="0.2">
      <c r="J356" t="str">
        <f>IF(ROW()-ROW($J$20)+1 &lt;=ROWS(Merge1[]),"","")</f>
        <v/>
      </c>
    </row>
    <row r="357" spans="10:10" x14ac:dyDescent="0.2">
      <c r="J357" t="str">
        <f>IF(ROW()-ROW($J$20)+1 &lt;=ROWS(Merge1[]),"","")</f>
        <v/>
      </c>
    </row>
    <row r="358" spans="10:10" x14ac:dyDescent="0.2">
      <c r="J358" t="str">
        <f>IF(ROW()-ROW($J$20)+1 &lt;=ROWS(Merge1[]),"","")</f>
        <v/>
      </c>
    </row>
    <row r="359" spans="10:10" x14ac:dyDescent="0.2">
      <c r="J359" t="str">
        <f>IF(ROW()-ROW($J$20)+1 &lt;=ROWS(Merge1[]),"","")</f>
        <v/>
      </c>
    </row>
    <row r="360" spans="10:10" x14ac:dyDescent="0.2">
      <c r="J360" t="str">
        <f>IF(ROW()-ROW($J$20)+1 &lt;=ROWS(Merge1[]),"","")</f>
        <v/>
      </c>
    </row>
    <row r="361" spans="10:10" x14ac:dyDescent="0.2">
      <c r="J361" t="str">
        <f>IF(ROW()-ROW($J$20)+1 &lt;=ROWS(Merge1[]),"","")</f>
        <v/>
      </c>
    </row>
    <row r="362" spans="10:10" x14ac:dyDescent="0.2">
      <c r="J362" t="str">
        <f>IF(ROW()-ROW($J$20)+1 &lt;=ROWS(Merge1[]),"","")</f>
        <v/>
      </c>
    </row>
    <row r="363" spans="10:10" x14ac:dyDescent="0.2">
      <c r="J363" t="str">
        <f>IF(ROW()-ROW($J$20)+1 &lt;=ROWS(Merge1[]),"","")</f>
        <v/>
      </c>
    </row>
    <row r="364" spans="10:10" x14ac:dyDescent="0.2">
      <c r="J364" t="str">
        <f>IF(ROW()-ROW($J$20)+1 &lt;=ROWS(Merge1[]),"","")</f>
        <v/>
      </c>
    </row>
    <row r="365" spans="10:10" x14ac:dyDescent="0.2">
      <c r="J365" t="str">
        <f>IF(ROW()-ROW($J$20)+1 &lt;=ROWS(Merge1[]),"","")</f>
        <v/>
      </c>
    </row>
    <row r="366" spans="10:10" x14ac:dyDescent="0.2">
      <c r="J366" t="str">
        <f>IF(ROW()-ROW($J$20)+1 &lt;=ROWS(Merge1[]),"","")</f>
        <v/>
      </c>
    </row>
    <row r="367" spans="10:10" x14ac:dyDescent="0.2">
      <c r="J367" t="str">
        <f>IF(ROW()-ROW($J$20)+1 &lt;=ROWS(Merge1[]),"","")</f>
        <v/>
      </c>
    </row>
    <row r="368" spans="10:10" x14ac:dyDescent="0.2">
      <c r="J368" t="str">
        <f>IF(ROW()-ROW($J$20)+1 &lt;=ROWS(Merge1[]),"","")</f>
        <v/>
      </c>
    </row>
    <row r="369" spans="10:10" x14ac:dyDescent="0.2">
      <c r="J369" t="str">
        <f>IF(ROW()-ROW($J$20)+1 &lt;=ROWS(Merge1[]),"","")</f>
        <v/>
      </c>
    </row>
    <row r="370" spans="10:10" x14ac:dyDescent="0.2">
      <c r="J370" t="str">
        <f>IF(ROW()-ROW($J$20)+1 &lt;=ROWS(Merge1[]),"","")</f>
        <v/>
      </c>
    </row>
    <row r="371" spans="10:10" x14ac:dyDescent="0.2">
      <c r="J371" t="str">
        <f>IF(ROW()-ROW($J$20)+1 &lt;=ROWS(Merge1[]),"","")</f>
        <v/>
      </c>
    </row>
    <row r="372" spans="10:10" x14ac:dyDescent="0.2">
      <c r="J372" t="str">
        <f>IF(ROW()-ROW($J$20)+1 &lt;=ROWS(Merge1[]),"","")</f>
        <v/>
      </c>
    </row>
    <row r="373" spans="10:10" x14ac:dyDescent="0.2">
      <c r="J373" t="str">
        <f>IF(ROW()-ROW($J$20)+1 &lt;=ROWS(Merge1[]),"","")</f>
        <v/>
      </c>
    </row>
    <row r="374" spans="10:10" x14ac:dyDescent="0.2">
      <c r="J374" t="str">
        <f>IF(ROW()-ROW($J$20)+1 &lt;=ROWS(Merge1[]),"","")</f>
        <v/>
      </c>
    </row>
    <row r="375" spans="10:10" x14ac:dyDescent="0.2">
      <c r="J375" t="str">
        <f>IF(ROW()-ROW($J$20)+1 &lt;=ROWS(Merge1[]),"","")</f>
        <v/>
      </c>
    </row>
    <row r="376" spans="10:10" x14ac:dyDescent="0.2">
      <c r="J376" t="str">
        <f>IF(ROW()-ROW($J$20)+1 &lt;=ROWS(Merge1[]),"","")</f>
        <v/>
      </c>
    </row>
    <row r="377" spans="10:10" x14ac:dyDescent="0.2">
      <c r="J377" t="str">
        <f>IF(ROW()-ROW($J$20)+1 &lt;=ROWS(Merge1[]),"","")</f>
        <v/>
      </c>
    </row>
    <row r="378" spans="10:10" x14ac:dyDescent="0.2">
      <c r="J378" t="str">
        <f>IF(ROW()-ROW($J$20)+1 &lt;=ROWS(Merge1[]),"","")</f>
        <v/>
      </c>
    </row>
    <row r="379" spans="10:10" x14ac:dyDescent="0.2">
      <c r="J379" t="str">
        <f>IF(ROW()-ROW($J$20)+1 &lt;=ROWS(Merge1[]),"","")</f>
        <v/>
      </c>
    </row>
    <row r="380" spans="10:10" x14ac:dyDescent="0.2">
      <c r="J380" t="str">
        <f>IF(ROW()-ROW($J$20)+1 &lt;=ROWS(Merge1[]),"","")</f>
        <v/>
      </c>
    </row>
    <row r="381" spans="10:10" x14ac:dyDescent="0.2">
      <c r="J381" t="str">
        <f>IF(ROW()-ROW($J$20)+1 &lt;=ROWS(Merge1[]),"","")</f>
        <v/>
      </c>
    </row>
    <row r="382" spans="10:10" x14ac:dyDescent="0.2">
      <c r="J382" t="str">
        <f>IF(ROW()-ROW($J$20)+1 &lt;=ROWS(Merge1[]),"","")</f>
        <v/>
      </c>
    </row>
    <row r="383" spans="10:10" x14ac:dyDescent="0.2">
      <c r="J383" t="str">
        <f>IF(ROW()-ROW($J$20)+1 &lt;=ROWS(Merge1[]),"","")</f>
        <v/>
      </c>
    </row>
    <row r="384" spans="10:10" x14ac:dyDescent="0.2">
      <c r="J384" t="str">
        <f>IF(ROW()-ROW($J$20)+1 &lt;=ROWS(Merge1[]),"","")</f>
        <v/>
      </c>
    </row>
    <row r="385" spans="10:10" x14ac:dyDescent="0.2">
      <c r="J385" t="str">
        <f>IF(ROW()-ROW($J$20)+1 &lt;=ROWS(Merge1[]),"","")</f>
        <v/>
      </c>
    </row>
    <row r="386" spans="10:10" x14ac:dyDescent="0.2">
      <c r="J386" t="str">
        <f>IF(ROW()-ROW($J$20)+1 &lt;=ROWS(Merge1[]),"","")</f>
        <v/>
      </c>
    </row>
    <row r="387" spans="10:10" x14ac:dyDescent="0.2">
      <c r="J387" t="str">
        <f>IF(ROW()-ROW($J$20)+1 &lt;=ROWS(Merge1[]),"","")</f>
        <v/>
      </c>
    </row>
    <row r="388" spans="10:10" x14ac:dyDescent="0.2">
      <c r="J388" t="str">
        <f>IF(ROW()-ROW($J$20)+1 &lt;=ROWS(Merge1[]),"","")</f>
        <v/>
      </c>
    </row>
    <row r="389" spans="10:10" x14ac:dyDescent="0.2">
      <c r="J389" t="str">
        <f>IF(ROW()-ROW($J$20)+1 &lt;=ROWS(Merge1[]),"","")</f>
        <v/>
      </c>
    </row>
    <row r="390" spans="10:10" x14ac:dyDescent="0.2">
      <c r="J390" t="str">
        <f>IF(ROW()-ROW($J$20)+1 &lt;=ROWS(Merge1[]),"","")</f>
        <v/>
      </c>
    </row>
    <row r="391" spans="10:10" x14ac:dyDescent="0.2">
      <c r="J391" t="str">
        <f>IF(ROW()-ROW($J$20)+1 &lt;=ROWS(Merge1[]),"","")</f>
        <v/>
      </c>
    </row>
    <row r="392" spans="10:10" x14ac:dyDescent="0.2">
      <c r="J392" t="str">
        <f>IF(ROW()-ROW($J$20)+1 &lt;=ROWS(Merge1[]),"","")</f>
        <v/>
      </c>
    </row>
    <row r="393" spans="10:10" x14ac:dyDescent="0.2">
      <c r="J393" t="str">
        <f>IF(ROW()-ROW($J$20)+1 &lt;=ROWS(Merge1[]),"","")</f>
        <v/>
      </c>
    </row>
    <row r="394" spans="10:10" x14ac:dyDescent="0.2">
      <c r="J394" t="str">
        <f>IF(ROW()-ROW($J$20)+1 &lt;=ROWS(Merge1[]),"","")</f>
        <v/>
      </c>
    </row>
    <row r="395" spans="10:10" x14ac:dyDescent="0.2">
      <c r="J395" t="str">
        <f>IF(ROW()-ROW($J$20)+1 &lt;=ROWS(Merge1[]),"","")</f>
        <v/>
      </c>
    </row>
    <row r="396" spans="10:10" x14ac:dyDescent="0.2">
      <c r="J396" t="str">
        <f>IF(ROW()-ROW($J$20)+1 &lt;=ROWS(Merge1[]),"","")</f>
        <v/>
      </c>
    </row>
    <row r="397" spans="10:10" x14ac:dyDescent="0.2">
      <c r="J397" t="str">
        <f>IF(ROW()-ROW($J$20)+1 &lt;=ROWS(Merge1[]),"","")</f>
        <v/>
      </c>
    </row>
    <row r="398" spans="10:10" x14ac:dyDescent="0.2">
      <c r="J398" t="str">
        <f>IF(ROW()-ROW($J$20)+1 &lt;=ROWS(Merge1[]),"","")</f>
        <v/>
      </c>
    </row>
    <row r="399" spans="10:10" x14ac:dyDescent="0.2">
      <c r="J399" t="str">
        <f>IF(ROW()-ROW($J$20)+1 &lt;=ROWS(Merge1[]),"","")</f>
        <v/>
      </c>
    </row>
    <row r="400" spans="10:10" x14ac:dyDescent="0.2">
      <c r="J400" t="str">
        <f>IF(ROW()-ROW($J$20)+1 &lt;=ROWS(Merge1[]),"","")</f>
        <v/>
      </c>
    </row>
    <row r="401" spans="10:10" x14ac:dyDescent="0.2">
      <c r="J401" t="str">
        <f>IF(ROW()-ROW($J$20)+1 &lt;=ROWS(Merge1[]),"","")</f>
        <v/>
      </c>
    </row>
    <row r="402" spans="10:10" x14ac:dyDescent="0.2">
      <c r="J402" t="str">
        <f>IF(ROW()-ROW($J$20)+1 &lt;=ROWS(Merge1[]),"","")</f>
        <v/>
      </c>
    </row>
    <row r="403" spans="10:10" x14ac:dyDescent="0.2">
      <c r="J403" t="str">
        <f>IF(ROW()-ROW($J$20)+1 &lt;=ROWS(Merge1[]),"","")</f>
        <v/>
      </c>
    </row>
    <row r="404" spans="10:10" x14ac:dyDescent="0.2">
      <c r="J404" t="str">
        <f>IF(ROW()-ROW($J$20)+1 &lt;=ROWS(Merge1[]),"","")</f>
        <v/>
      </c>
    </row>
    <row r="405" spans="10:10" x14ac:dyDescent="0.2">
      <c r="J405" t="str">
        <f>IF(ROW()-ROW($J$20)+1 &lt;=ROWS(Merge1[]),"","")</f>
        <v/>
      </c>
    </row>
    <row r="406" spans="10:10" x14ac:dyDescent="0.2">
      <c r="J406" t="str">
        <f>IF(ROW()-ROW($J$20)+1 &lt;=ROWS(Merge1[]),"","")</f>
        <v/>
      </c>
    </row>
    <row r="407" spans="10:10" x14ac:dyDescent="0.2">
      <c r="J407" t="str">
        <f>IF(ROW()-ROW($J$20)+1 &lt;=ROWS(Merge1[]),"","")</f>
        <v/>
      </c>
    </row>
    <row r="408" spans="10:10" x14ac:dyDescent="0.2">
      <c r="J408" t="str">
        <f>IF(ROW()-ROW($J$20)+1 &lt;=ROWS(Merge1[]),"","")</f>
        <v/>
      </c>
    </row>
    <row r="409" spans="10:10" x14ac:dyDescent="0.2">
      <c r="J409" t="str">
        <f>IF(ROW()-ROW($J$20)+1 &lt;=ROWS(Merge1[]),"","")</f>
        <v/>
      </c>
    </row>
    <row r="410" spans="10:10" x14ac:dyDescent="0.2">
      <c r="J410" t="str">
        <f>IF(ROW()-ROW($J$20)+1 &lt;=ROWS(Merge1[]),"","")</f>
        <v/>
      </c>
    </row>
    <row r="411" spans="10:10" x14ac:dyDescent="0.2">
      <c r="J411" t="str">
        <f>IF(ROW()-ROW($J$20)+1 &lt;=ROWS(Merge1[]),"","")</f>
        <v/>
      </c>
    </row>
    <row r="412" spans="10:10" x14ac:dyDescent="0.2">
      <c r="J412" t="str">
        <f>IF(ROW()-ROW($J$20)+1 &lt;=ROWS(Merge1[]),"","")</f>
        <v/>
      </c>
    </row>
    <row r="413" spans="10:10" x14ac:dyDescent="0.2">
      <c r="J413" t="str">
        <f>IF(ROW()-ROW($J$20)+1 &lt;=ROWS(Merge1[]),"","")</f>
        <v/>
      </c>
    </row>
    <row r="414" spans="10:10" x14ac:dyDescent="0.2">
      <c r="J414" t="str">
        <f>IF(ROW()-ROW($J$20)+1 &lt;=ROWS(Merge1[]),"","")</f>
        <v/>
      </c>
    </row>
    <row r="415" spans="10:10" x14ac:dyDescent="0.2">
      <c r="J415" t="str">
        <f>IF(ROW()-ROW($J$20)+1 &lt;=ROWS(Merge1[]),"","")</f>
        <v/>
      </c>
    </row>
    <row r="416" spans="10:10" x14ac:dyDescent="0.2">
      <c r="J416" t="str">
        <f>IF(ROW()-ROW($J$20)+1 &lt;=ROWS(Merge1[]),"","")</f>
        <v/>
      </c>
    </row>
    <row r="417" spans="10:10" x14ac:dyDescent="0.2">
      <c r="J417" t="str">
        <f>IF(ROW()-ROW($J$20)+1 &lt;=ROWS(Merge1[]),"","")</f>
        <v/>
      </c>
    </row>
    <row r="418" spans="10:10" x14ac:dyDescent="0.2">
      <c r="J418" t="str">
        <f>IF(ROW()-ROW($J$20)+1 &lt;=ROWS(Merge1[]),"","")</f>
        <v/>
      </c>
    </row>
    <row r="419" spans="10:10" x14ac:dyDescent="0.2">
      <c r="J419" t="str">
        <f>IF(ROW()-ROW($J$20)+1 &lt;=ROWS(Merge1[]),"","")</f>
        <v/>
      </c>
    </row>
    <row r="420" spans="10:10" x14ac:dyDescent="0.2">
      <c r="J420" t="str">
        <f>IF(ROW()-ROW($J$20)+1 &lt;=ROWS(Merge1[]),"","")</f>
        <v/>
      </c>
    </row>
    <row r="421" spans="10:10" x14ac:dyDescent="0.2">
      <c r="J421" t="str">
        <f>IF(ROW()-ROW($J$20)+1 &lt;=ROWS(Merge1[]),"","")</f>
        <v/>
      </c>
    </row>
    <row r="422" spans="10:10" x14ac:dyDescent="0.2">
      <c r="J422" t="str">
        <f>IF(ROW()-ROW($J$20)+1 &lt;=ROWS(Merge1[]),"","")</f>
        <v/>
      </c>
    </row>
    <row r="423" spans="10:10" x14ac:dyDescent="0.2">
      <c r="J423" t="str">
        <f>IF(ROW()-ROW($J$20)+1 &lt;=ROWS(Merge1[]),"","")</f>
        <v/>
      </c>
    </row>
    <row r="424" spans="10:10" x14ac:dyDescent="0.2">
      <c r="J424" t="str">
        <f>IF(ROW()-ROW($J$20)+1 &lt;=ROWS(Merge1[]),"","")</f>
        <v/>
      </c>
    </row>
    <row r="425" spans="10:10" x14ac:dyDescent="0.2">
      <c r="J425" t="str">
        <f>IF(ROW()-ROW($J$20)+1 &lt;=ROWS(Merge1[]),"","")</f>
        <v/>
      </c>
    </row>
    <row r="426" spans="10:10" x14ac:dyDescent="0.2">
      <c r="J426" t="str">
        <f>IF(ROW()-ROW($J$20)+1 &lt;=ROWS(Merge1[]),"","")</f>
        <v/>
      </c>
    </row>
    <row r="427" spans="10:10" x14ac:dyDescent="0.2">
      <c r="J427" t="str">
        <f>IF(ROW()-ROW($J$20)+1 &lt;=ROWS(Merge1[]),"","")</f>
        <v/>
      </c>
    </row>
    <row r="428" spans="10:10" x14ac:dyDescent="0.2">
      <c r="J428" t="str">
        <f>IF(ROW()-ROW($J$20)+1 &lt;=ROWS(Merge1[]),"","")</f>
        <v/>
      </c>
    </row>
    <row r="429" spans="10:10" x14ac:dyDescent="0.2">
      <c r="J429" t="str">
        <f>IF(ROW()-ROW($J$20)+1 &lt;=ROWS(Merge1[]),"","")</f>
        <v/>
      </c>
    </row>
    <row r="430" spans="10:10" x14ac:dyDescent="0.2">
      <c r="J430" t="str">
        <f>IF(ROW()-ROW($J$20)+1 &lt;=ROWS(Merge1[]),"","")</f>
        <v/>
      </c>
    </row>
    <row r="431" spans="10:10" x14ac:dyDescent="0.2">
      <c r="J431" t="str">
        <f>IF(ROW()-ROW($J$20)+1 &lt;=ROWS(Merge1[]),"","")</f>
        <v/>
      </c>
    </row>
    <row r="432" spans="10:10" x14ac:dyDescent="0.2">
      <c r="J432" t="str">
        <f>IF(ROW()-ROW($J$20)+1 &lt;=ROWS(Merge1[]),"","")</f>
        <v/>
      </c>
    </row>
    <row r="433" spans="10:10" x14ac:dyDescent="0.2">
      <c r="J433" t="str">
        <f>IF(ROW()-ROW($J$20)+1 &lt;=ROWS(Merge1[]),"","")</f>
        <v/>
      </c>
    </row>
    <row r="434" spans="10:10" x14ac:dyDescent="0.2">
      <c r="J434" t="str">
        <f>IF(ROW()-ROW($J$20)+1 &lt;=ROWS(Merge1[]),"","")</f>
        <v/>
      </c>
    </row>
    <row r="435" spans="10:10" x14ac:dyDescent="0.2">
      <c r="J435" t="str">
        <f>IF(ROW()-ROW($J$20)+1 &lt;=ROWS(Merge1[]),"","")</f>
        <v/>
      </c>
    </row>
    <row r="436" spans="10:10" x14ac:dyDescent="0.2">
      <c r="J436" t="str">
        <f>IF(ROW()-ROW($J$20)+1 &lt;=ROWS(Merge1[]),"","")</f>
        <v/>
      </c>
    </row>
    <row r="437" spans="10:10" x14ac:dyDescent="0.2">
      <c r="J437" t="str">
        <f>IF(ROW()-ROW($J$20)+1 &lt;=ROWS(Merge1[]),"","")</f>
        <v/>
      </c>
    </row>
    <row r="438" spans="10:10" x14ac:dyDescent="0.2">
      <c r="J438" t="str">
        <f>IF(ROW()-ROW($J$20)+1 &lt;=ROWS(Merge1[]),"","")</f>
        <v/>
      </c>
    </row>
    <row r="439" spans="10:10" x14ac:dyDescent="0.2">
      <c r="J439" t="str">
        <f>IF(ROW()-ROW($J$20)+1 &lt;=ROWS(Merge1[]),"","")</f>
        <v/>
      </c>
    </row>
    <row r="440" spans="10:10" x14ac:dyDescent="0.2">
      <c r="J440" t="str">
        <f>IF(ROW()-ROW($J$20)+1 &lt;=ROWS(Merge1[]),"","")</f>
        <v/>
      </c>
    </row>
    <row r="441" spans="10:10" x14ac:dyDescent="0.2">
      <c r="J441" t="str">
        <f>IF(ROW()-ROW($J$20)+1 &lt;=ROWS(Merge1[]),"","")</f>
        <v/>
      </c>
    </row>
    <row r="442" spans="10:10" x14ac:dyDescent="0.2">
      <c r="J442" t="str">
        <f>IF(ROW()-ROW($J$20)+1 &lt;=ROWS(Merge1[]),"","")</f>
        <v/>
      </c>
    </row>
    <row r="443" spans="10:10" x14ac:dyDescent="0.2">
      <c r="J443" t="str">
        <f>IF(ROW()-ROW($J$20)+1 &lt;=ROWS(Merge1[]),"","")</f>
        <v/>
      </c>
    </row>
    <row r="444" spans="10:10" x14ac:dyDescent="0.2">
      <c r="J444" t="str">
        <f>IF(ROW()-ROW($J$20)+1 &lt;=ROWS(Merge1[]),"","")</f>
        <v/>
      </c>
    </row>
    <row r="445" spans="10:10" x14ac:dyDescent="0.2">
      <c r="J445" t="str">
        <f>IF(ROW()-ROW($J$20)+1 &lt;=ROWS(Merge1[]),"","")</f>
        <v/>
      </c>
    </row>
    <row r="446" spans="10:10" x14ac:dyDescent="0.2">
      <c r="J446" t="str">
        <f>IF(ROW()-ROW($J$20)+1 &lt;=ROWS(Merge1[]),"","")</f>
        <v/>
      </c>
    </row>
    <row r="447" spans="10:10" x14ac:dyDescent="0.2">
      <c r="J447" t="str">
        <f>IF(ROW()-ROW($J$20)+1 &lt;=ROWS(Merge1[]),"","")</f>
        <v/>
      </c>
    </row>
    <row r="448" spans="10:10" x14ac:dyDescent="0.2">
      <c r="J448" t="str">
        <f>IF(ROW()-ROW($J$20)+1 &lt;=ROWS(Merge1[]),"","")</f>
        <v/>
      </c>
    </row>
    <row r="449" spans="10:10" x14ac:dyDescent="0.2">
      <c r="J449" t="str">
        <f>IF(ROW()-ROW($J$20)+1 &lt;=ROWS(Merge1[]),"","")</f>
        <v/>
      </c>
    </row>
    <row r="450" spans="10:10" x14ac:dyDescent="0.2">
      <c r="J450" t="str">
        <f>IF(ROW()-ROW($J$20)+1 &lt;=ROWS(Merge1[]),"","")</f>
        <v/>
      </c>
    </row>
    <row r="451" spans="10:10" x14ac:dyDescent="0.2">
      <c r="J451" t="str">
        <f>IF(ROW()-ROW($J$20)+1 &lt;=ROWS(Merge1[]),"","")</f>
        <v/>
      </c>
    </row>
    <row r="452" spans="10:10" x14ac:dyDescent="0.2">
      <c r="J452" t="str">
        <f>IF(ROW()-ROW($J$20)+1 &lt;=ROWS(Merge1[]),"","")</f>
        <v/>
      </c>
    </row>
    <row r="453" spans="10:10" x14ac:dyDescent="0.2">
      <c r="J453" t="str">
        <f>IF(ROW()-ROW($J$20)+1 &lt;=ROWS(Merge1[]),"","")</f>
        <v/>
      </c>
    </row>
    <row r="454" spans="10:10" x14ac:dyDescent="0.2">
      <c r="J454" t="str">
        <f>IF(ROW()-ROW($J$20)+1 &lt;=ROWS(Merge1[]),"","")</f>
        <v/>
      </c>
    </row>
    <row r="455" spans="10:10" x14ac:dyDescent="0.2">
      <c r="J455" t="str">
        <f>IF(ROW()-ROW($J$20)+1 &lt;=ROWS(Merge1[]),"","")</f>
        <v/>
      </c>
    </row>
    <row r="456" spans="10:10" x14ac:dyDescent="0.2">
      <c r="J456" t="str">
        <f>IF(ROW()-ROW($J$20)+1 &lt;=ROWS(Merge1[]),"","")</f>
        <v/>
      </c>
    </row>
    <row r="457" spans="10:10" x14ac:dyDescent="0.2">
      <c r="J457" t="str">
        <f>IF(ROW()-ROW($J$20)+1 &lt;=ROWS(Merge1[]),"","")</f>
        <v/>
      </c>
    </row>
    <row r="458" spans="10:10" x14ac:dyDescent="0.2">
      <c r="J458" t="str">
        <f>IF(ROW()-ROW($J$20)+1 &lt;=ROWS(Merge1[]),"","")</f>
        <v/>
      </c>
    </row>
    <row r="459" spans="10:10" x14ac:dyDescent="0.2">
      <c r="J459" t="str">
        <f>IF(ROW()-ROW($J$20)+1 &lt;=ROWS(Merge1[]),"","")</f>
        <v/>
      </c>
    </row>
    <row r="460" spans="10:10" x14ac:dyDescent="0.2">
      <c r="J460" t="str">
        <f>IF(ROW()-ROW($J$20)+1 &lt;=ROWS(Merge1[]),"","")</f>
        <v/>
      </c>
    </row>
    <row r="461" spans="10:10" x14ac:dyDescent="0.2">
      <c r="J461" t="str">
        <f>IF(ROW()-ROW($J$20)+1 &lt;=ROWS(Merge1[]),"","")</f>
        <v/>
      </c>
    </row>
    <row r="462" spans="10:10" x14ac:dyDescent="0.2">
      <c r="J462" t="str">
        <f>IF(ROW()-ROW($J$20)+1 &lt;=ROWS(Merge1[]),"","")</f>
        <v/>
      </c>
    </row>
    <row r="463" spans="10:10" x14ac:dyDescent="0.2">
      <c r="J463" t="str">
        <f>IF(ROW()-ROW($J$20)+1 &lt;=ROWS(Merge1[]),"","")</f>
        <v/>
      </c>
    </row>
    <row r="464" spans="10:10" x14ac:dyDescent="0.2">
      <c r="J464" t="str">
        <f>IF(ROW()-ROW($J$20)+1 &lt;=ROWS(Merge1[]),"","")</f>
        <v/>
      </c>
    </row>
    <row r="465" spans="10:10" x14ac:dyDescent="0.2">
      <c r="J465" t="str">
        <f>IF(ROW()-ROW($J$20)+1 &lt;=ROWS(Merge1[]),"","")</f>
        <v/>
      </c>
    </row>
    <row r="466" spans="10:10" x14ac:dyDescent="0.2">
      <c r="J466" t="str">
        <f>IF(ROW()-ROW($J$20)+1 &lt;=ROWS(Merge1[]),"","")</f>
        <v/>
      </c>
    </row>
    <row r="467" spans="10:10" x14ac:dyDescent="0.2">
      <c r="J467" t="str">
        <f>IF(ROW()-ROW($J$20)+1 &lt;=ROWS(Merge1[]),"","")</f>
        <v/>
      </c>
    </row>
    <row r="468" spans="10:10" x14ac:dyDescent="0.2">
      <c r="J468" t="str">
        <f>IF(ROW()-ROW($J$20)+1 &lt;=ROWS(Merge1[]),"","")</f>
        <v/>
      </c>
    </row>
    <row r="469" spans="10:10" x14ac:dyDescent="0.2">
      <c r="J469" t="str">
        <f>IF(ROW()-ROW($J$20)+1 &lt;=ROWS(Merge1[]),"","")</f>
        <v/>
      </c>
    </row>
    <row r="470" spans="10:10" x14ac:dyDescent="0.2">
      <c r="J470" t="str">
        <f>IF(ROW()-ROW($J$20)+1 &lt;=ROWS(Merge1[]),"","")</f>
        <v/>
      </c>
    </row>
    <row r="471" spans="10:10" x14ac:dyDescent="0.2">
      <c r="J471" t="str">
        <f>IF(ROW()-ROW($J$20)+1 &lt;=ROWS(Merge1[]),"","")</f>
        <v/>
      </c>
    </row>
    <row r="472" spans="10:10" x14ac:dyDescent="0.2">
      <c r="J472" t="str">
        <f>IF(ROW()-ROW($J$20)+1 &lt;=ROWS(Merge1[]),"","")</f>
        <v/>
      </c>
    </row>
    <row r="473" spans="10:10" x14ac:dyDescent="0.2">
      <c r="J473" t="str">
        <f>IF(ROW()-ROW($J$20)+1 &lt;=ROWS(Merge1[]),"","")</f>
        <v/>
      </c>
    </row>
    <row r="474" spans="10:10" x14ac:dyDescent="0.2">
      <c r="J474" t="str">
        <f>IF(ROW()-ROW($J$20)+1 &lt;=ROWS(Merge1[]),"","")</f>
        <v/>
      </c>
    </row>
    <row r="475" spans="10:10" x14ac:dyDescent="0.2">
      <c r="J475" t="str">
        <f>IF(ROW()-ROW($J$20)+1 &lt;=ROWS(Merge1[]),"","")</f>
        <v/>
      </c>
    </row>
    <row r="476" spans="10:10" x14ac:dyDescent="0.2">
      <c r="J476" t="str">
        <f>IF(ROW()-ROW($J$20)+1 &lt;=ROWS(Merge1[]),"","")</f>
        <v/>
      </c>
    </row>
    <row r="477" spans="10:10" x14ac:dyDescent="0.2">
      <c r="J477" t="str">
        <f>IF(ROW()-ROW($J$20)+1 &lt;=ROWS(Merge1[]),"","")</f>
        <v/>
      </c>
    </row>
    <row r="478" spans="10:10" x14ac:dyDescent="0.2">
      <c r="J478" t="str">
        <f>IF(ROW()-ROW($J$20)+1 &lt;=ROWS(Merge1[]),"","")</f>
        <v/>
      </c>
    </row>
  </sheetData>
  <pageMargins left="0.7" right="0.7" top="0.75" bottom="0.75" header="0.3" footer="0.3"/>
  <pageSetup paperSize="8" scale="50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458E39-B1C1-432F-9C9E-261CBFB0AD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Bestellen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Duijst</dc:creator>
  <cp:lastModifiedBy>Yolina Yordanova</cp:lastModifiedBy>
  <dcterms:created xsi:type="dcterms:W3CDTF">2026-02-23T15:18:57Z</dcterms:created>
  <dcterms:modified xsi:type="dcterms:W3CDTF">2026-03-02T09:34:21Z</dcterms:modified>
</cp:coreProperties>
</file>